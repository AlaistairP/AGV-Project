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stair Preece\Downloads\"/>
    </mc:Choice>
  </mc:AlternateContent>
  <xr:revisionPtr revIDLastSave="0" documentId="13_ncr:1_{992C182D-4964-4261-B706-5CD836DA7A42}" xr6:coauthVersionLast="47" xr6:coauthVersionMax="47" xr10:uidLastSave="{00000000-0000-0000-0000-000000000000}"/>
  <workbookProtection lockStructure="1"/>
  <bookViews>
    <workbookView xWindow="-108" yWindow="-108" windowWidth="23256" windowHeight="12456" firstSheet="2" activeTab="2" xr2:uid="{FFC9CE9A-5F5A-4B55-97DA-414618201F53}"/>
  </bookViews>
  <sheets>
    <sheet name="Sheet1" sheetId="1" state="hidden" r:id="rId1"/>
    <sheet name="Sheet2" sheetId="2" state="hidden" r:id="rId2"/>
    <sheet name="Input Parameters" sheetId="3" r:id="rId3"/>
  </sheets>
  <definedNames>
    <definedName name="½_L4">Sheet2!$B$7</definedName>
    <definedName name="d">Sheet2!$B$4</definedName>
    <definedName name="d_2">Sheet2!$F$4</definedName>
    <definedName name="L">Sheet1!$C$3</definedName>
    <definedName name="L_4">Sheet2!$B$6</definedName>
    <definedName name="L_4_2">Sheet2!$F$6</definedName>
    <definedName name="Rmin">Sheet1!$C$4</definedName>
    <definedName name="W">Sheet1!$C$2</definedName>
    <definedName name="W_2">Sheet2!$F$2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L4" i="2" s="1"/>
  <c r="C4" i="1"/>
  <c r="C3" i="1"/>
  <c r="C2" i="1"/>
  <c r="B3" i="2"/>
  <c r="I6" i="2"/>
  <c r="AJ21" i="2" l="1"/>
  <c r="AJ7" i="2"/>
  <c r="I3" i="1"/>
  <c r="AJ14" i="2"/>
  <c r="W4" i="2"/>
  <c r="Y4" i="2" s="1"/>
  <c r="A11" i="2" l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B2" i="2"/>
  <c r="B4" i="2" s="1"/>
  <c r="N4" i="1" s="1"/>
  <c r="F2" i="1"/>
  <c r="E6" i="1" s="1"/>
  <c r="A8" i="1"/>
  <c r="B8" i="1" l="1"/>
  <c r="L2" i="2" s="1"/>
  <c r="L5" i="2" s="1"/>
  <c r="F4" i="2"/>
  <c r="J4" i="2"/>
  <c r="J5" i="2" s="1"/>
  <c r="AA4" i="2"/>
  <c r="AB4" i="2"/>
  <c r="F2" i="2"/>
  <c r="A9" i="1"/>
  <c r="C8" i="1"/>
  <c r="B6" i="2"/>
  <c r="L6" i="2" l="1"/>
  <c r="M6" i="2" s="1"/>
  <c r="N6" i="2" s="1"/>
  <c r="P6" i="2" s="1"/>
  <c r="W5" i="2"/>
  <c r="Y5" i="2" s="1"/>
  <c r="AA5" i="2"/>
  <c r="AB5" i="2"/>
  <c r="M4" i="2"/>
  <c r="N4" i="2" s="1"/>
  <c r="P4" i="2" s="1"/>
  <c r="M5" i="2"/>
  <c r="N5" i="2" s="1"/>
  <c r="P5" i="2" s="1"/>
  <c r="A10" i="1"/>
  <c r="B9" i="1"/>
  <c r="C9" i="1"/>
  <c r="F6" i="2"/>
  <c r="B7" i="2"/>
  <c r="W6" i="2" l="1"/>
  <c r="Y6" i="2" s="1"/>
  <c r="L7" i="2"/>
  <c r="AB7" i="2" s="1"/>
  <c r="AB6" i="2"/>
  <c r="AA6" i="2"/>
  <c r="A11" i="1"/>
  <c r="B10" i="1"/>
  <c r="C10" i="1"/>
  <c r="O6" i="2"/>
  <c r="Q5" i="2"/>
  <c r="R5" i="2" s="1"/>
  <c r="X5" i="2" s="1"/>
  <c r="Q6" i="2"/>
  <c r="R6" i="2" s="1"/>
  <c r="X6" i="2" s="1"/>
  <c r="Q4" i="2"/>
  <c r="R4" i="2" s="1"/>
  <c r="X4" i="2" s="1"/>
  <c r="O5" i="2"/>
  <c r="O4" i="2"/>
  <c r="M7" i="2" l="1"/>
  <c r="N7" i="2" s="1"/>
  <c r="P7" i="2" s="1"/>
  <c r="L8" i="2"/>
  <c r="W7" i="2"/>
  <c r="Y7" i="2" s="1"/>
  <c r="AA7" i="2"/>
  <c r="A12" i="1"/>
  <c r="B11" i="1"/>
  <c r="C11" i="1"/>
  <c r="S5" i="2"/>
  <c r="T5" i="2" s="1"/>
  <c r="U5" i="2" s="1"/>
  <c r="Z6" i="2"/>
  <c r="AC6" i="2"/>
  <c r="AE6" i="2" s="1"/>
  <c r="AD6" i="2"/>
  <c r="AF6" i="2" s="1"/>
  <c r="Z5" i="2"/>
  <c r="AC5" i="2"/>
  <c r="AE5" i="2" s="1"/>
  <c r="AD5" i="2"/>
  <c r="AF5" i="2" s="1"/>
  <c r="Z4" i="2"/>
  <c r="AD4" i="2"/>
  <c r="AF4" i="2" s="1"/>
  <c r="AH4" i="2" s="1"/>
  <c r="AC4" i="2"/>
  <c r="AE4" i="2" s="1"/>
  <c r="AG4" i="2" s="1"/>
  <c r="S4" i="2"/>
  <c r="S6" i="2"/>
  <c r="AA8" i="2" l="1"/>
  <c r="AB8" i="2"/>
  <c r="L9" i="2"/>
  <c r="W8" i="2"/>
  <c r="Y8" i="2" s="1"/>
  <c r="M8" i="2"/>
  <c r="N8" i="2" s="1"/>
  <c r="O7" i="2"/>
  <c r="Q7" i="2"/>
  <c r="R7" i="2" s="1"/>
  <c r="X7" i="2" s="1"/>
  <c r="Z7" i="2" s="1"/>
  <c r="V5" i="2"/>
  <c r="F10" i="2"/>
  <c r="A13" i="1"/>
  <c r="B12" i="1"/>
  <c r="C12" i="1"/>
  <c r="T6" i="2"/>
  <c r="V6" i="2" s="1"/>
  <c r="T4" i="2"/>
  <c r="U4" i="2" s="1"/>
  <c r="AG6" i="2"/>
  <c r="AH6" i="2"/>
  <c r="AH5" i="2"/>
  <c r="Q8" i="2"/>
  <c r="AB9" i="2"/>
  <c r="AA9" i="2"/>
  <c r="L10" i="2"/>
  <c r="W9" i="2"/>
  <c r="Y9" i="2" s="1"/>
  <c r="M9" i="2"/>
  <c r="N9" i="2" s="1"/>
  <c r="AG5" i="2"/>
  <c r="P8" i="2" l="1"/>
  <c r="O8" i="2"/>
  <c r="S7" i="2"/>
  <c r="T7" i="2" s="1"/>
  <c r="V7" i="2" s="1"/>
  <c r="AC7" i="2"/>
  <c r="AE7" i="2" s="1"/>
  <c r="AG7" i="2" s="1"/>
  <c r="AD7" i="2"/>
  <c r="AF7" i="2" s="1"/>
  <c r="AH7" i="2" s="1"/>
  <c r="B10" i="2" a="1"/>
  <c r="A14" i="1"/>
  <c r="B13" i="1"/>
  <c r="C13" i="1"/>
  <c r="U6" i="2"/>
  <c r="V4" i="2"/>
  <c r="R8" i="2"/>
  <c r="P9" i="2"/>
  <c r="O9" i="2"/>
  <c r="Q9" i="2"/>
  <c r="AA10" i="2"/>
  <c r="AB10" i="2"/>
  <c r="L11" i="2"/>
  <c r="W10" i="2"/>
  <c r="Y10" i="2" s="1"/>
  <c r="M10" i="2"/>
  <c r="N10" i="2" s="1"/>
  <c r="S8" i="2"/>
  <c r="T8" i="2" s="1"/>
  <c r="X8" i="2" l="1"/>
  <c r="Z8" i="2" s="1"/>
  <c r="AC8" i="2"/>
  <c r="AE8" i="2" s="1"/>
  <c r="AG8" i="2" s="1"/>
  <c r="AD8" i="2"/>
  <c r="AF8" i="2" s="1"/>
  <c r="AH8" i="2" s="1"/>
  <c r="A15" i="1"/>
  <c r="B14" i="1"/>
  <c r="C14" i="1"/>
  <c r="U7" i="2"/>
  <c r="R9" i="2"/>
  <c r="X9" i="2" s="1"/>
  <c r="Z9" i="2" s="1"/>
  <c r="P10" i="2"/>
  <c r="O10" i="2"/>
  <c r="Q10" i="2"/>
  <c r="V8" i="2"/>
  <c r="U8" i="2"/>
  <c r="AB11" i="2"/>
  <c r="AA11" i="2"/>
  <c r="L12" i="2"/>
  <c r="W11" i="2"/>
  <c r="Y11" i="2" s="1"/>
  <c r="M11" i="2"/>
  <c r="N11" i="2" s="1"/>
  <c r="S9" i="2"/>
  <c r="T9" i="2" s="1"/>
  <c r="AD9" i="2" l="1"/>
  <c r="AF9" i="2" s="1"/>
  <c r="AH9" i="2" s="1"/>
  <c r="AC9" i="2"/>
  <c r="AE9" i="2" s="1"/>
  <c r="AG9" i="2" s="1"/>
  <c r="A16" i="1"/>
  <c r="B15" i="1"/>
  <c r="C15" i="1"/>
  <c r="R10" i="2"/>
  <c r="X10" i="2" s="1"/>
  <c r="Z10" i="2" s="1"/>
  <c r="P11" i="2"/>
  <c r="Q11" i="2"/>
  <c r="O11" i="2"/>
  <c r="AB12" i="2"/>
  <c r="AA12" i="2"/>
  <c r="L13" i="2"/>
  <c r="W12" i="2"/>
  <c r="Y12" i="2" s="1"/>
  <c r="M12" i="2"/>
  <c r="N12" i="2" s="1"/>
  <c r="U9" i="2"/>
  <c r="V9" i="2"/>
  <c r="S10" i="2"/>
  <c r="T10" i="2" s="1"/>
  <c r="A17" i="1" l="1"/>
  <c r="B16" i="1"/>
  <c r="C16" i="1"/>
  <c r="AC10" i="2"/>
  <c r="AE10" i="2" s="1"/>
  <c r="AG10" i="2" s="1"/>
  <c r="AD10" i="2"/>
  <c r="AF10" i="2" s="1"/>
  <c r="AH10" i="2" s="1"/>
  <c r="R11" i="2"/>
  <c r="X11" i="2" s="1"/>
  <c r="Z11" i="2" s="1"/>
  <c r="U10" i="2"/>
  <c r="V10" i="2"/>
  <c r="P12" i="2"/>
  <c r="Q12" i="2"/>
  <c r="O12" i="2"/>
  <c r="AB13" i="2"/>
  <c r="AA13" i="2"/>
  <c r="L14" i="2"/>
  <c r="W13" i="2"/>
  <c r="Y13" i="2" s="1"/>
  <c r="M13" i="2"/>
  <c r="N13" i="2" s="1"/>
  <c r="S11" i="2"/>
  <c r="T11" i="2" s="1"/>
  <c r="AC11" i="2" l="1"/>
  <c r="AE11" i="2" s="1"/>
  <c r="AG11" i="2" s="1"/>
  <c r="AD11" i="2"/>
  <c r="AF11" i="2" s="1"/>
  <c r="AH11" i="2" s="1"/>
  <c r="A18" i="1"/>
  <c r="B17" i="1"/>
  <c r="C17" i="1"/>
  <c r="R12" i="2"/>
  <c r="AC12" i="2" s="1"/>
  <c r="AE12" i="2" s="1"/>
  <c r="AG12" i="2" s="1"/>
  <c r="P13" i="2"/>
  <c r="Q13" i="2"/>
  <c r="O13" i="2"/>
  <c r="V11" i="2"/>
  <c r="U11" i="2"/>
  <c r="AB14" i="2"/>
  <c r="W14" i="2"/>
  <c r="Y14" i="2" s="1"/>
  <c r="AA14" i="2"/>
  <c r="L15" i="2"/>
  <c r="M14" i="2"/>
  <c r="N14" i="2" s="1"/>
  <c r="S12" i="2"/>
  <c r="T12" i="2" s="1"/>
  <c r="AD12" i="2" l="1"/>
  <c r="AF12" i="2" s="1"/>
  <c r="AH12" i="2" s="1"/>
  <c r="X12" i="2"/>
  <c r="Z12" i="2" s="1"/>
  <c r="A19" i="1"/>
  <c r="B18" i="1"/>
  <c r="C18" i="1"/>
  <c r="R13" i="2"/>
  <c r="X13" i="2" s="1"/>
  <c r="Z13" i="2" s="1"/>
  <c r="V12" i="2"/>
  <c r="U12" i="2"/>
  <c r="P14" i="2"/>
  <c r="Q14" i="2"/>
  <c r="O14" i="2"/>
  <c r="AA15" i="2"/>
  <c r="L16" i="2"/>
  <c r="W15" i="2"/>
  <c r="Y15" i="2" s="1"/>
  <c r="AB15" i="2"/>
  <c r="M15" i="2"/>
  <c r="N15" i="2" s="1"/>
  <c r="S13" i="2"/>
  <c r="T13" i="2" s="1"/>
  <c r="A20" i="1" l="1"/>
  <c r="B19" i="1"/>
  <c r="C19" i="1"/>
  <c r="R14" i="2"/>
  <c r="X14" i="2" s="1"/>
  <c r="Z14" i="2" s="1"/>
  <c r="AD13" i="2"/>
  <c r="AF13" i="2" s="1"/>
  <c r="AH13" i="2" s="1"/>
  <c r="AC13" i="2"/>
  <c r="AE13" i="2" s="1"/>
  <c r="AG13" i="2" s="1"/>
  <c r="O15" i="2"/>
  <c r="P15" i="2"/>
  <c r="Q15" i="2"/>
  <c r="U13" i="2"/>
  <c r="V13" i="2"/>
  <c r="AA16" i="2"/>
  <c r="L17" i="2"/>
  <c r="W16" i="2"/>
  <c r="Y16" i="2" s="1"/>
  <c r="AB16" i="2"/>
  <c r="M16" i="2"/>
  <c r="N16" i="2" s="1"/>
  <c r="S14" i="2"/>
  <c r="T14" i="2" s="1"/>
  <c r="AC14" i="2" l="1"/>
  <c r="AE14" i="2" s="1"/>
  <c r="AG14" i="2" s="1"/>
  <c r="AD14" i="2"/>
  <c r="AF14" i="2" s="1"/>
  <c r="AH14" i="2" s="1"/>
  <c r="A21" i="1"/>
  <c r="B20" i="1"/>
  <c r="C20" i="1"/>
  <c r="S15" i="2"/>
  <c r="V14" i="2"/>
  <c r="U14" i="2"/>
  <c r="P16" i="2"/>
  <c r="O16" i="2"/>
  <c r="Q16" i="2"/>
  <c r="AA17" i="2"/>
  <c r="AB17" i="2"/>
  <c r="L18" i="2"/>
  <c r="W17" i="2"/>
  <c r="Y17" i="2" s="1"/>
  <c r="M17" i="2"/>
  <c r="N17" i="2" s="1"/>
  <c r="R15" i="2"/>
  <c r="A22" i="1" l="1"/>
  <c r="B21" i="1"/>
  <c r="C21" i="1"/>
  <c r="T15" i="2"/>
  <c r="U15" i="2" s="1"/>
  <c r="R16" i="2"/>
  <c r="X15" i="2"/>
  <c r="Z15" i="2" s="1"/>
  <c r="AC15" i="2"/>
  <c r="AE15" i="2" s="1"/>
  <c r="AG15" i="2" s="1"/>
  <c r="AD15" i="2"/>
  <c r="AF15" i="2" s="1"/>
  <c r="AH15" i="2" s="1"/>
  <c r="AB18" i="2"/>
  <c r="W18" i="2"/>
  <c r="Y18" i="2" s="1"/>
  <c r="AA18" i="2"/>
  <c r="L19" i="2"/>
  <c r="M18" i="2"/>
  <c r="N18" i="2" s="1"/>
  <c r="P17" i="2"/>
  <c r="Q17" i="2"/>
  <c r="O17" i="2"/>
  <c r="S16" i="2"/>
  <c r="T16" i="2" s="1"/>
  <c r="AJ5" i="2" a="1"/>
  <c r="AK5" i="2" a="1"/>
  <c r="X16" i="2" l="1"/>
  <c r="Z16" i="2" s="1"/>
  <c r="AD16" i="2"/>
  <c r="AF16" i="2" s="1"/>
  <c r="AH16" i="2" s="1"/>
  <c r="AC16" i="2"/>
  <c r="AE16" i="2" s="1"/>
  <c r="AG16" i="2" s="1"/>
  <c r="A23" i="1"/>
  <c r="B22" i="1"/>
  <c r="C22" i="1"/>
  <c r="V15" i="2"/>
  <c r="R17" i="2"/>
  <c r="X17" i="2" s="1"/>
  <c r="Z17" i="2" s="1"/>
  <c r="O18" i="2"/>
  <c r="P18" i="2"/>
  <c r="Q18" i="2"/>
  <c r="U16" i="2"/>
  <c r="V16" i="2"/>
  <c r="S17" i="2"/>
  <c r="T17" i="2" s="1"/>
  <c r="AB19" i="2"/>
  <c r="AA19" i="2"/>
  <c r="L20" i="2"/>
  <c r="W19" i="2"/>
  <c r="Y19" i="2" s="1"/>
  <c r="M19" i="2"/>
  <c r="N19" i="2" s="1"/>
  <c r="A24" i="1" l="1"/>
  <c r="C23" i="1"/>
  <c r="B23" i="1"/>
  <c r="AD17" i="2"/>
  <c r="AF17" i="2" s="1"/>
  <c r="AH17" i="2" s="1"/>
  <c r="AC17" i="2"/>
  <c r="AE17" i="2" s="1"/>
  <c r="AG17" i="2" s="1"/>
  <c r="S18" i="2"/>
  <c r="R18" i="2"/>
  <c r="P19" i="2"/>
  <c r="O19" i="2"/>
  <c r="Q19" i="2"/>
  <c r="AA20" i="2"/>
  <c r="AB20" i="2"/>
  <c r="L21" i="2"/>
  <c r="W20" i="2"/>
  <c r="Y20" i="2" s="1"/>
  <c r="M20" i="2"/>
  <c r="N20" i="2" s="1"/>
  <c r="U17" i="2"/>
  <c r="V17" i="2"/>
  <c r="X18" i="2" l="1"/>
  <c r="Z18" i="2" s="1"/>
  <c r="AD18" i="2"/>
  <c r="AF18" i="2" s="1"/>
  <c r="AH18" i="2" s="1"/>
  <c r="AC18" i="2"/>
  <c r="AE18" i="2" s="1"/>
  <c r="AG18" i="2" s="1"/>
  <c r="A25" i="1"/>
  <c r="B24" i="1"/>
  <c r="C24" i="1"/>
  <c r="T18" i="2"/>
  <c r="V18" i="2" s="1"/>
  <c r="R19" i="2"/>
  <c r="P20" i="2"/>
  <c r="Q20" i="2"/>
  <c r="O20" i="2"/>
  <c r="AB21" i="2"/>
  <c r="AA21" i="2"/>
  <c r="L22" i="2"/>
  <c r="W21" i="2"/>
  <c r="Y21" i="2" s="1"/>
  <c r="M21" i="2"/>
  <c r="N21" i="2" s="1"/>
  <c r="S19" i="2"/>
  <c r="T19" i="2" s="1"/>
  <c r="AJ6" i="2" a="1"/>
  <c r="AK6" i="2" a="1"/>
  <c r="X19" i="2" l="1"/>
  <c r="Z19" i="2" s="1"/>
  <c r="AD19" i="2"/>
  <c r="AF19" i="2" s="1"/>
  <c r="AH19" i="2" s="1"/>
  <c r="AC19" i="2"/>
  <c r="AE19" i="2" s="1"/>
  <c r="AG19" i="2" s="1"/>
  <c r="A26" i="1"/>
  <c r="C25" i="1"/>
  <c r="B25" i="1"/>
  <c r="U18" i="2"/>
  <c r="R20" i="2"/>
  <c r="V19" i="2"/>
  <c r="U19" i="2"/>
  <c r="P21" i="2"/>
  <c r="O21" i="2"/>
  <c r="Q21" i="2"/>
  <c r="AB22" i="2"/>
  <c r="AA22" i="2"/>
  <c r="L23" i="2"/>
  <c r="W22" i="2"/>
  <c r="Y22" i="2" s="1"/>
  <c r="M22" i="2"/>
  <c r="N22" i="2" s="1"/>
  <c r="S20" i="2"/>
  <c r="T20" i="2" s="1"/>
  <c r="X20" i="2" l="1"/>
  <c r="Z20" i="2" s="1"/>
  <c r="AC20" i="2"/>
  <c r="AE20" i="2" s="1"/>
  <c r="AG20" i="2" s="1"/>
  <c r="AD20" i="2"/>
  <c r="AF20" i="2" s="1"/>
  <c r="AH20" i="2" s="1"/>
  <c r="A27" i="1"/>
  <c r="B26" i="1"/>
  <c r="C26" i="1"/>
  <c r="R21" i="2"/>
  <c r="U20" i="2"/>
  <c r="V20" i="2"/>
  <c r="AA23" i="2"/>
  <c r="AB23" i="2"/>
  <c r="L24" i="2"/>
  <c r="W23" i="2"/>
  <c r="Y23" i="2" s="1"/>
  <c r="M23" i="2"/>
  <c r="N23" i="2" s="1"/>
  <c r="P22" i="2"/>
  <c r="O22" i="2"/>
  <c r="Q22" i="2"/>
  <c r="S21" i="2"/>
  <c r="T21" i="2" s="1"/>
  <c r="X21" i="2" l="1"/>
  <c r="Z21" i="2" s="1"/>
  <c r="AC21" i="2"/>
  <c r="AE21" i="2" s="1"/>
  <c r="AG21" i="2" s="1"/>
  <c r="AD21" i="2"/>
  <c r="AF21" i="2" s="1"/>
  <c r="AH21" i="2" s="1"/>
  <c r="A28" i="1"/>
  <c r="C27" i="1"/>
  <c r="B27" i="1"/>
  <c r="R22" i="2"/>
  <c r="X22" i="2" s="1"/>
  <c r="Z22" i="2" s="1"/>
  <c r="V21" i="2"/>
  <c r="U21" i="2"/>
  <c r="S22" i="2"/>
  <c r="T22" i="2" s="1"/>
  <c r="P23" i="2"/>
  <c r="O23" i="2"/>
  <c r="Q23" i="2"/>
  <c r="AK19" i="2" a="1"/>
  <c r="AJ19" i="2" a="1"/>
  <c r="AA24" i="2"/>
  <c r="AB24" i="2"/>
  <c r="L25" i="2"/>
  <c r="W24" i="2"/>
  <c r="Y24" i="2" s="1"/>
  <c r="M24" i="2"/>
  <c r="N24" i="2" s="1"/>
  <c r="A29" i="1" l="1"/>
  <c r="B28" i="1"/>
  <c r="C28" i="1"/>
  <c r="AC22" i="2"/>
  <c r="AE22" i="2" s="1"/>
  <c r="AG22" i="2" s="1"/>
  <c r="AD22" i="2"/>
  <c r="AF22" i="2" s="1"/>
  <c r="AH22" i="2" s="1"/>
  <c r="R23" i="2"/>
  <c r="X23" i="2" s="1"/>
  <c r="Z23" i="2" s="1"/>
  <c r="P24" i="2"/>
  <c r="Q24" i="2"/>
  <c r="O24" i="2"/>
  <c r="AB25" i="2"/>
  <c r="L26" i="2"/>
  <c r="W25" i="2"/>
  <c r="Y25" i="2" s="1"/>
  <c r="M25" i="2"/>
  <c r="N25" i="2" s="1"/>
  <c r="AA25" i="2"/>
  <c r="S23" i="2"/>
  <c r="T23" i="2" s="1"/>
  <c r="U22" i="2"/>
  <c r="V22" i="2"/>
  <c r="A30" i="1" l="1"/>
  <c r="C29" i="1"/>
  <c r="B29" i="1"/>
  <c r="S24" i="2"/>
  <c r="T24" i="2" s="1"/>
  <c r="V24" i="2" s="1"/>
  <c r="R24" i="2"/>
  <c r="AD24" i="2" s="1"/>
  <c r="AF24" i="2" s="1"/>
  <c r="AH24" i="2" s="1"/>
  <c r="AD23" i="2"/>
  <c r="AF23" i="2" s="1"/>
  <c r="AH23" i="2" s="1"/>
  <c r="AC23" i="2"/>
  <c r="AE23" i="2" s="1"/>
  <c r="AG23" i="2" s="1"/>
  <c r="AB26" i="2"/>
  <c r="AA26" i="2"/>
  <c r="L27" i="2"/>
  <c r="M26" i="2"/>
  <c r="N26" i="2" s="1"/>
  <c r="W26" i="2"/>
  <c r="Y26" i="2" s="1"/>
  <c r="V23" i="2"/>
  <c r="U23" i="2"/>
  <c r="P25" i="2"/>
  <c r="O25" i="2"/>
  <c r="Q25" i="2"/>
  <c r="A31" i="1" l="1"/>
  <c r="B30" i="1"/>
  <c r="C30" i="1"/>
  <c r="R25" i="2"/>
  <c r="U24" i="2"/>
  <c r="X24" i="2"/>
  <c r="Z24" i="2" s="1"/>
  <c r="AK20" i="2" a="1"/>
  <c r="AC24" i="2"/>
  <c r="AE24" i="2" s="1"/>
  <c r="AG24" i="2" s="1"/>
  <c r="AJ20" i="2" a="1"/>
  <c r="S25" i="2"/>
  <c r="P26" i="2"/>
  <c r="O26" i="2"/>
  <c r="Q26" i="2"/>
  <c r="L28" i="2"/>
  <c r="W27" i="2"/>
  <c r="Y27" i="2" s="1"/>
  <c r="AB27" i="2"/>
  <c r="M27" i="2"/>
  <c r="N27" i="2" s="1"/>
  <c r="AA27" i="2"/>
  <c r="X25" i="2" l="1"/>
  <c r="Z25" i="2" s="1"/>
  <c r="AD25" i="2"/>
  <c r="AF25" i="2" s="1"/>
  <c r="AH25" i="2" s="1"/>
  <c r="AC25" i="2"/>
  <c r="AE25" i="2" s="1"/>
  <c r="AG25" i="2" s="1"/>
  <c r="A32" i="1"/>
  <c r="B31" i="1"/>
  <c r="C31" i="1"/>
  <c r="T25" i="2"/>
  <c r="V25" i="2" s="1"/>
  <c r="R26" i="2"/>
  <c r="X26" i="2" s="1"/>
  <c r="Z26" i="2" s="1"/>
  <c r="AB28" i="2"/>
  <c r="L29" i="2"/>
  <c r="W28" i="2"/>
  <c r="Y28" i="2" s="1"/>
  <c r="AA28" i="2"/>
  <c r="M28" i="2"/>
  <c r="N28" i="2" s="1"/>
  <c r="Q27" i="2"/>
  <c r="P27" i="2"/>
  <c r="O27" i="2"/>
  <c r="S26" i="2"/>
  <c r="T26" i="2" s="1"/>
  <c r="A33" i="1" l="1"/>
  <c r="B32" i="1"/>
  <c r="C32" i="1"/>
  <c r="U25" i="2"/>
  <c r="AD26" i="2"/>
  <c r="AF26" i="2" s="1"/>
  <c r="AH26" i="2" s="1"/>
  <c r="AC26" i="2"/>
  <c r="AE26" i="2" s="1"/>
  <c r="AG26" i="2" s="1"/>
  <c r="S27" i="2"/>
  <c r="V26" i="2"/>
  <c r="U26" i="2"/>
  <c r="R27" i="2"/>
  <c r="P28" i="2"/>
  <c r="Q28" i="2"/>
  <c r="O28" i="2"/>
  <c r="L30" i="2"/>
  <c r="W29" i="2"/>
  <c r="Y29" i="2" s="1"/>
  <c r="AB29" i="2"/>
  <c r="M29" i="2"/>
  <c r="N29" i="2" s="1"/>
  <c r="AA29" i="2"/>
  <c r="A34" i="1" l="1"/>
  <c r="B33" i="1"/>
  <c r="C33" i="1"/>
  <c r="T27" i="2"/>
  <c r="V27" i="2" s="1"/>
  <c r="S28" i="2"/>
  <c r="Q29" i="2"/>
  <c r="P29" i="2"/>
  <c r="O29" i="2"/>
  <c r="L31" i="2"/>
  <c r="W30" i="2"/>
  <c r="Y30" i="2" s="1"/>
  <c r="M30" i="2"/>
  <c r="N30" i="2" s="1"/>
  <c r="AB30" i="2"/>
  <c r="AA30" i="2"/>
  <c r="R28" i="2"/>
  <c r="X27" i="2"/>
  <c r="Z27" i="2" s="1"/>
  <c r="AC27" i="2"/>
  <c r="AE27" i="2" s="1"/>
  <c r="AG27" i="2" s="1"/>
  <c r="AD27" i="2"/>
  <c r="AF27" i="2" s="1"/>
  <c r="AH27" i="2" s="1"/>
  <c r="A35" i="1" l="1"/>
  <c r="B34" i="1"/>
  <c r="C34" i="1"/>
  <c r="U27" i="2"/>
  <c r="T28" i="2"/>
  <c r="U28" i="2" s="1"/>
  <c r="S29" i="2"/>
  <c r="T29" i="2" s="1"/>
  <c r="V29" i="2" s="1"/>
  <c r="Q30" i="2"/>
  <c r="P30" i="2"/>
  <c r="O30" i="2"/>
  <c r="L32" i="2"/>
  <c r="W31" i="2"/>
  <c r="Y31" i="2" s="1"/>
  <c r="AB31" i="2"/>
  <c r="AA31" i="2"/>
  <c r="M31" i="2"/>
  <c r="N31" i="2" s="1"/>
  <c r="X28" i="2"/>
  <c r="Z28" i="2" s="1"/>
  <c r="AC28" i="2"/>
  <c r="AE28" i="2" s="1"/>
  <c r="AG28" i="2" s="1"/>
  <c r="AD28" i="2"/>
  <c r="AF28" i="2" s="1"/>
  <c r="AH28" i="2" s="1"/>
  <c r="R29" i="2"/>
  <c r="U29" i="2" l="1"/>
  <c r="A36" i="1"/>
  <c r="C35" i="1"/>
  <c r="B35" i="1"/>
  <c r="V28" i="2"/>
  <c r="X29" i="2"/>
  <c r="Z29" i="2" s="1"/>
  <c r="AD29" i="2"/>
  <c r="AF29" i="2" s="1"/>
  <c r="AH29" i="2" s="1"/>
  <c r="AC29" i="2"/>
  <c r="AE29" i="2" s="1"/>
  <c r="AG29" i="2" s="1"/>
  <c r="P31" i="2"/>
  <c r="Q31" i="2"/>
  <c r="O31" i="2"/>
  <c r="L33" i="2"/>
  <c r="W32" i="2"/>
  <c r="Y32" i="2" s="1"/>
  <c r="AA32" i="2"/>
  <c r="M32" i="2"/>
  <c r="N32" i="2" s="1"/>
  <c r="AB32" i="2"/>
  <c r="S30" i="2"/>
  <c r="T30" i="2" s="1"/>
  <c r="R30" i="2"/>
  <c r="B36" i="1" l="1"/>
  <c r="A37" i="1"/>
  <c r="C36" i="1"/>
  <c r="S31" i="2"/>
  <c r="U30" i="2"/>
  <c r="V30" i="2"/>
  <c r="R31" i="2"/>
  <c r="X30" i="2"/>
  <c r="Z30" i="2" s="1"/>
  <c r="AC30" i="2"/>
  <c r="AE30" i="2" s="1"/>
  <c r="AG30" i="2" s="1"/>
  <c r="AD30" i="2"/>
  <c r="AF30" i="2" s="1"/>
  <c r="AH30" i="2" s="1"/>
  <c r="P32" i="2"/>
  <c r="Q32" i="2"/>
  <c r="O32" i="2"/>
  <c r="M33" i="2"/>
  <c r="N33" i="2" s="1"/>
  <c r="L34" i="2"/>
  <c r="W33" i="2"/>
  <c r="Y33" i="2" s="1"/>
  <c r="AA33" i="2"/>
  <c r="AB33" i="2"/>
  <c r="A38" i="1" l="1"/>
  <c r="B37" i="1"/>
  <c r="C37" i="1"/>
  <c r="T31" i="2"/>
  <c r="V31" i="2" s="1"/>
  <c r="R32" i="2"/>
  <c r="O33" i="2"/>
  <c r="P33" i="2"/>
  <c r="Q33" i="2"/>
  <c r="X32" i="2"/>
  <c r="Z32" i="2" s="1"/>
  <c r="AD32" i="2"/>
  <c r="AF32" i="2" s="1"/>
  <c r="AH32" i="2" s="1"/>
  <c r="AC32" i="2"/>
  <c r="AE32" i="2" s="1"/>
  <c r="AG32" i="2" s="1"/>
  <c r="M34" i="2"/>
  <c r="N34" i="2" s="1"/>
  <c r="W34" i="2"/>
  <c r="Y34" i="2" s="1"/>
  <c r="AB34" i="2"/>
  <c r="L35" i="2"/>
  <c r="AA34" i="2"/>
  <c r="S32" i="2"/>
  <c r="T32" i="2" s="1"/>
  <c r="X31" i="2"/>
  <c r="Z31" i="2" s="1"/>
  <c r="AD31" i="2"/>
  <c r="AF31" i="2" s="1"/>
  <c r="AH31" i="2" s="1"/>
  <c r="AC31" i="2"/>
  <c r="AE31" i="2" s="1"/>
  <c r="AG31" i="2" s="1"/>
  <c r="B38" i="1" l="1"/>
  <c r="C38" i="1"/>
  <c r="A39" i="1"/>
  <c r="U31" i="2"/>
  <c r="R33" i="2"/>
  <c r="X33" i="2" s="1"/>
  <c r="Z33" i="2" s="1"/>
  <c r="V32" i="2"/>
  <c r="U32" i="2"/>
  <c r="M35" i="2"/>
  <c r="N35" i="2" s="1"/>
  <c r="AB35" i="2"/>
  <c r="L36" i="2"/>
  <c r="W35" i="2"/>
  <c r="Y35" i="2" s="1"/>
  <c r="AA35" i="2"/>
  <c r="P34" i="2"/>
  <c r="Q34" i="2"/>
  <c r="O34" i="2"/>
  <c r="S33" i="2"/>
  <c r="T33" i="2" s="1"/>
  <c r="A40" i="1" l="1"/>
  <c r="B39" i="1"/>
  <c r="C39" i="1"/>
  <c r="AC33" i="2"/>
  <c r="AE33" i="2" s="1"/>
  <c r="AG33" i="2" s="1"/>
  <c r="AD33" i="2"/>
  <c r="AF33" i="2" s="1"/>
  <c r="AH33" i="2" s="1"/>
  <c r="R34" i="2"/>
  <c r="X34" i="2" s="1"/>
  <c r="Z34" i="2" s="1"/>
  <c r="O35" i="2"/>
  <c r="P35" i="2"/>
  <c r="Q35" i="2"/>
  <c r="U33" i="2"/>
  <c r="V33" i="2"/>
  <c r="S34" i="2"/>
  <c r="T34" i="2" s="1"/>
  <c r="M36" i="2"/>
  <c r="N36" i="2" s="1"/>
  <c r="L37" i="2"/>
  <c r="W36" i="2"/>
  <c r="Y36" i="2" s="1"/>
  <c r="AA36" i="2"/>
  <c r="AB36" i="2"/>
  <c r="B40" i="1" l="1"/>
  <c r="C40" i="1"/>
  <c r="A41" i="1"/>
  <c r="AC34" i="2"/>
  <c r="AE34" i="2" s="1"/>
  <c r="AG34" i="2" s="1"/>
  <c r="AD34" i="2"/>
  <c r="AF34" i="2" s="1"/>
  <c r="AH34" i="2" s="1"/>
  <c r="S35" i="2"/>
  <c r="R35" i="2"/>
  <c r="M37" i="2"/>
  <c r="N37" i="2" s="1"/>
  <c r="AA37" i="2"/>
  <c r="L38" i="2"/>
  <c r="W37" i="2"/>
  <c r="Y37" i="2" s="1"/>
  <c r="AB37" i="2"/>
  <c r="O36" i="2"/>
  <c r="P36" i="2"/>
  <c r="Q36" i="2"/>
  <c r="U34" i="2"/>
  <c r="V34" i="2"/>
  <c r="B41" i="1" l="1"/>
  <c r="C41" i="1"/>
  <c r="A42" i="1"/>
  <c r="T35" i="2"/>
  <c r="V35" i="2" s="1"/>
  <c r="R36" i="2"/>
  <c r="AD36" i="2" s="1"/>
  <c r="AF36" i="2" s="1"/>
  <c r="AH36" i="2" s="1"/>
  <c r="M38" i="2"/>
  <c r="N38" i="2" s="1"/>
  <c r="L39" i="2"/>
  <c r="W38" i="2"/>
  <c r="Y38" i="2" s="1"/>
  <c r="AA38" i="2"/>
  <c r="AB38" i="2"/>
  <c r="S36" i="2"/>
  <c r="T36" i="2" s="1"/>
  <c r="Q37" i="2"/>
  <c r="O37" i="2"/>
  <c r="P37" i="2"/>
  <c r="X35" i="2"/>
  <c r="Z35" i="2" s="1"/>
  <c r="AD35" i="2"/>
  <c r="AF35" i="2" s="1"/>
  <c r="AH35" i="2" s="1"/>
  <c r="AC35" i="2"/>
  <c r="AE35" i="2" s="1"/>
  <c r="AG35" i="2" s="1"/>
  <c r="B42" i="1" l="1"/>
  <c r="C42" i="1"/>
  <c r="A43" i="1"/>
  <c r="X36" i="2"/>
  <c r="Z36" i="2" s="1"/>
  <c r="AC36" i="2"/>
  <c r="AE36" i="2" s="1"/>
  <c r="AG36" i="2" s="1"/>
  <c r="U35" i="2"/>
  <c r="S37" i="2"/>
  <c r="T37" i="2" s="1"/>
  <c r="U37" i="2" s="1"/>
  <c r="U36" i="2"/>
  <c r="V36" i="2"/>
  <c r="M39" i="2"/>
  <c r="N39" i="2" s="1"/>
  <c r="L40" i="2"/>
  <c r="W39" i="2"/>
  <c r="Y39" i="2" s="1"/>
  <c r="AB39" i="2"/>
  <c r="AA39" i="2"/>
  <c r="R37" i="2"/>
  <c r="Q38" i="2"/>
  <c r="P38" i="2"/>
  <c r="O38" i="2"/>
  <c r="A44" i="1" l="1"/>
  <c r="B43" i="1"/>
  <c r="C43" i="1"/>
  <c r="V37" i="2"/>
  <c r="S38" i="2"/>
  <c r="M40" i="2"/>
  <c r="N40" i="2" s="1"/>
  <c r="L41" i="2"/>
  <c r="W40" i="2"/>
  <c r="Y40" i="2" s="1"/>
  <c r="AA40" i="2"/>
  <c r="AB40" i="2"/>
  <c r="R38" i="2"/>
  <c r="X37" i="2"/>
  <c r="Z37" i="2" s="1"/>
  <c r="AC37" i="2"/>
  <c r="AE37" i="2" s="1"/>
  <c r="AG37" i="2" s="1"/>
  <c r="AD37" i="2"/>
  <c r="AF37" i="2" s="1"/>
  <c r="AH37" i="2" s="1"/>
  <c r="P39" i="2"/>
  <c r="O39" i="2"/>
  <c r="Q39" i="2"/>
  <c r="A45" i="1" l="1"/>
  <c r="B44" i="1"/>
  <c r="C44" i="1"/>
  <c r="T38" i="2"/>
  <c r="U38" i="2" s="1"/>
  <c r="R39" i="2"/>
  <c r="X39" i="2" s="1"/>
  <c r="Z39" i="2" s="1"/>
  <c r="X38" i="2"/>
  <c r="Z38" i="2" s="1"/>
  <c r="AC38" i="2"/>
  <c r="AE38" i="2" s="1"/>
  <c r="AG38" i="2" s="1"/>
  <c r="AD38" i="2"/>
  <c r="AF38" i="2" s="1"/>
  <c r="AH38" i="2" s="1"/>
  <c r="S39" i="2"/>
  <c r="T39" i="2" s="1"/>
  <c r="M41" i="2"/>
  <c r="N41" i="2" s="1"/>
  <c r="L42" i="2"/>
  <c r="W41" i="2"/>
  <c r="Y41" i="2" s="1"/>
  <c r="AA41" i="2"/>
  <c r="AB41" i="2"/>
  <c r="P40" i="2"/>
  <c r="O40" i="2"/>
  <c r="Q40" i="2"/>
  <c r="A46" i="1" l="1"/>
  <c r="B45" i="1"/>
  <c r="C45" i="1"/>
  <c r="AC39" i="2"/>
  <c r="AE39" i="2" s="1"/>
  <c r="AG39" i="2" s="1"/>
  <c r="AD39" i="2"/>
  <c r="AF39" i="2" s="1"/>
  <c r="AH39" i="2" s="1"/>
  <c r="V38" i="2"/>
  <c r="R40" i="2"/>
  <c r="X40" i="2" s="1"/>
  <c r="Z40" i="2" s="1"/>
  <c r="S40" i="2"/>
  <c r="T40" i="2" s="1"/>
  <c r="M42" i="2"/>
  <c r="N42" i="2" s="1"/>
  <c r="W42" i="2"/>
  <c r="Y42" i="2" s="1"/>
  <c r="AA42" i="2"/>
  <c r="L43" i="2"/>
  <c r="AB42" i="2"/>
  <c r="P41" i="2"/>
  <c r="Q41" i="2"/>
  <c r="O41" i="2"/>
  <c r="V39" i="2"/>
  <c r="U39" i="2"/>
  <c r="B46" i="1" l="1"/>
  <c r="A47" i="1"/>
  <c r="C46" i="1"/>
  <c r="AD40" i="2"/>
  <c r="AF40" i="2" s="1"/>
  <c r="AH40" i="2" s="1"/>
  <c r="AC40" i="2"/>
  <c r="AE40" i="2" s="1"/>
  <c r="AG40" i="2" s="1"/>
  <c r="R41" i="2"/>
  <c r="X41" i="2" s="1"/>
  <c r="Z41" i="2" s="1"/>
  <c r="P42" i="2"/>
  <c r="Q42" i="2"/>
  <c r="O42" i="2"/>
  <c r="S41" i="2"/>
  <c r="T41" i="2" s="1"/>
  <c r="AA43" i="2"/>
  <c r="L44" i="2"/>
  <c r="W43" i="2"/>
  <c r="Y43" i="2" s="1"/>
  <c r="M43" i="2"/>
  <c r="N43" i="2" s="1"/>
  <c r="AB43" i="2"/>
  <c r="V40" i="2"/>
  <c r="U40" i="2"/>
  <c r="A48" i="1" l="1"/>
  <c r="B47" i="1"/>
  <c r="C47" i="1"/>
  <c r="R42" i="2"/>
  <c r="X42" i="2" s="1"/>
  <c r="Z42" i="2" s="1"/>
  <c r="AD41" i="2"/>
  <c r="AF41" i="2" s="1"/>
  <c r="AH41" i="2" s="1"/>
  <c r="AC41" i="2"/>
  <c r="AE41" i="2" s="1"/>
  <c r="AG41" i="2" s="1"/>
  <c r="Q43" i="2"/>
  <c r="P43" i="2"/>
  <c r="O43" i="2"/>
  <c r="AB44" i="2"/>
  <c r="W44" i="2"/>
  <c r="Y44" i="2" s="1"/>
  <c r="M44" i="2"/>
  <c r="N44" i="2" s="1"/>
  <c r="AJ12" i="2" a="1"/>
  <c r="AK12" i="2" a="1"/>
  <c r="AA44" i="2"/>
  <c r="U41" i="2"/>
  <c r="V41" i="2"/>
  <c r="S42" i="2"/>
  <c r="T42" i="2" s="1"/>
  <c r="B48" i="1" l="1"/>
  <c r="C48" i="1"/>
  <c r="A49" i="1"/>
  <c r="AC42" i="2"/>
  <c r="AE42" i="2" s="1"/>
  <c r="AG42" i="2" s="1"/>
  <c r="AD42" i="2"/>
  <c r="AF42" i="2" s="1"/>
  <c r="AH42" i="2" s="1"/>
  <c r="S43" i="2"/>
  <c r="U42" i="2"/>
  <c r="V42" i="2"/>
  <c r="Q44" i="2"/>
  <c r="O44" i="2"/>
  <c r="P44" i="2"/>
  <c r="R43" i="2"/>
  <c r="B49" i="1" l="1"/>
  <c r="A50" i="1"/>
  <c r="C49" i="1"/>
  <c r="T43" i="2"/>
  <c r="U43" i="2" s="1"/>
  <c r="AC43" i="2"/>
  <c r="AE43" i="2" s="1"/>
  <c r="AG43" i="2" s="1"/>
  <c r="AD43" i="2"/>
  <c r="AF43" i="2" s="1"/>
  <c r="AH43" i="2" s="1"/>
  <c r="X43" i="2"/>
  <c r="Z43" i="2" s="1"/>
  <c r="S44" i="2"/>
  <c r="T44" i="2" s="1"/>
  <c r="R44" i="2"/>
  <c r="B50" i="1" l="1"/>
  <c r="C50" i="1"/>
  <c r="A51" i="1"/>
  <c r="V43" i="2"/>
  <c r="AC44" i="2"/>
  <c r="AE44" i="2" s="1"/>
  <c r="AG44" i="2" s="1"/>
  <c r="AD44" i="2"/>
  <c r="AF44" i="2" s="1"/>
  <c r="AH44" i="2" s="1"/>
  <c r="X44" i="2"/>
  <c r="Z44" i="2" s="1"/>
  <c r="AJ13" i="2" a="1"/>
  <c r="AK13" i="2" a="1"/>
  <c r="V44" i="2"/>
  <c r="U44" i="2"/>
  <c r="F17" i="2" l="1"/>
  <c r="B17" i="2" s="1" a="1"/>
  <c r="F11" i="2"/>
  <c r="B11" i="2" s="1" a="1"/>
  <c r="F22" i="2"/>
  <c r="B22" i="2" s="1" a="1"/>
  <c r="F33" i="2"/>
  <c r="B33" i="2" s="1" a="1"/>
  <c r="F21" i="2"/>
  <c r="B21" i="2" s="1" a="1"/>
  <c r="F28" i="2"/>
  <c r="B28" i="2" s="1" a="1"/>
  <c r="F16" i="2"/>
  <c r="B16" i="2" s="1" a="1"/>
  <c r="F12" i="2"/>
  <c r="B12" i="2" s="1" a="1"/>
  <c r="F25" i="2"/>
  <c r="B25" i="2" s="1" a="1"/>
  <c r="F45" i="2"/>
  <c r="B45" i="2" s="1" a="1"/>
  <c r="F13" i="2"/>
  <c r="B13" i="2" s="1" a="1"/>
  <c r="F39" i="2"/>
  <c r="B39" i="2" s="1" a="1"/>
  <c r="F46" i="2"/>
  <c r="B46" i="2" s="1" a="1"/>
  <c r="F32" i="2"/>
  <c r="B32" i="2" s="1" a="1"/>
  <c r="F26" i="2"/>
  <c r="B26" i="2" s="1" a="1"/>
  <c r="F24" i="2"/>
  <c r="B24" i="2" s="1" a="1"/>
  <c r="F47" i="2"/>
  <c r="B47" i="2" s="1" a="1"/>
  <c r="F44" i="2"/>
  <c r="B44" i="2" s="1" a="1"/>
  <c r="F29" i="2"/>
  <c r="B29" i="2" s="1" a="1"/>
  <c r="F40" i="2"/>
  <c r="B40" i="2" s="1" a="1"/>
  <c r="F30" i="2"/>
  <c r="B30" i="2" s="1" a="1"/>
  <c r="F34" i="2"/>
  <c r="B34" i="2" s="1" a="1"/>
  <c r="F23" i="2"/>
  <c r="B23" i="2" s="1" a="1"/>
  <c r="F14" i="2"/>
  <c r="B14" i="2" s="1" a="1"/>
  <c r="F37" i="2"/>
  <c r="B37" i="2" s="1" a="1"/>
  <c r="F41" i="2"/>
  <c r="B41" i="2" s="1" a="1"/>
  <c r="F19" i="2"/>
  <c r="B19" i="2" s="1" a="1"/>
  <c r="F43" i="2"/>
  <c r="B43" i="2" s="1" a="1"/>
  <c r="F38" i="2"/>
  <c r="B38" i="2" s="1" a="1"/>
  <c r="F15" i="2"/>
  <c r="B15" i="2" s="1" a="1"/>
  <c r="F35" i="2"/>
  <c r="B35" i="2" s="1" a="1"/>
  <c r="F27" i="2"/>
  <c r="B27" i="2" s="1" a="1"/>
  <c r="F18" i="2"/>
  <c r="B18" i="2" s="1" a="1"/>
  <c r="F20" i="2"/>
  <c r="B20" i="2" s="1" a="1"/>
  <c r="F42" i="2"/>
  <c r="B42" i="2" s="1" a="1"/>
  <c r="F36" i="2"/>
  <c r="B36" i="2" s="1" a="1"/>
  <c r="F31" i="2"/>
  <c r="B31" i="2" s="1" a="1"/>
  <c r="B51" i="1"/>
  <c r="C51" i="1"/>
  <c r="A52" i="1"/>
  <c r="C52" i="1" l="1"/>
  <c r="B52" i="1"/>
  <c r="A53" i="1"/>
  <c r="C53" i="1" l="1"/>
  <c r="A54" i="1"/>
  <c r="B53" i="1"/>
  <c r="B54" i="1" l="1"/>
  <c r="C54" i="1"/>
  <c r="A55" i="1"/>
  <c r="B55" i="1" l="1"/>
  <c r="C55" i="1"/>
  <c r="A56" i="1"/>
  <c r="B56" i="1" l="1"/>
  <c r="C56" i="1"/>
  <c r="A57" i="1"/>
  <c r="A58" i="1" l="1"/>
  <c r="B57" i="1"/>
  <c r="C57" i="1"/>
  <c r="A59" i="1" l="1"/>
  <c r="B58" i="1"/>
  <c r="C58" i="1"/>
  <c r="A60" i="1" l="1"/>
  <c r="C59" i="1"/>
  <c r="B59" i="1"/>
  <c r="B60" i="1" l="1"/>
  <c r="C60" i="1"/>
  <c r="A61" i="1"/>
  <c r="B61" i="1" l="1"/>
  <c r="C61" i="1"/>
  <c r="A62" i="1"/>
  <c r="A63" i="1" l="1"/>
  <c r="B62" i="1"/>
  <c r="C62" i="1"/>
  <c r="B63" i="1" l="1"/>
  <c r="A64" i="1"/>
  <c r="C63" i="1"/>
  <c r="C64" i="1" l="1"/>
  <c r="A65" i="1"/>
  <c r="B64" i="1"/>
  <c r="B65" i="1" l="1"/>
  <c r="C65" i="1"/>
  <c r="A66" i="1"/>
  <c r="B66" i="1" l="1"/>
  <c r="A67" i="1"/>
  <c r="C66" i="1"/>
  <c r="C67" i="1" l="1"/>
  <c r="A68" i="1"/>
  <c r="B67" i="1"/>
  <c r="B68" i="1" l="1"/>
  <c r="C68" i="1"/>
  <c r="A69" i="1"/>
  <c r="C69" i="1" l="1"/>
  <c r="A70" i="1"/>
  <c r="B69" i="1"/>
  <c r="C70" i="1" l="1"/>
  <c r="A71" i="1"/>
  <c r="B70" i="1"/>
  <c r="B71" i="1" l="1"/>
  <c r="C71" i="1"/>
  <c r="A72" i="1"/>
  <c r="A73" i="1" l="1"/>
  <c r="B72" i="1"/>
  <c r="C72" i="1"/>
  <c r="C73" i="1" l="1"/>
  <c r="A74" i="1"/>
  <c r="B73" i="1"/>
  <c r="C74" i="1" l="1"/>
  <c r="A75" i="1"/>
  <c r="B74" i="1"/>
  <c r="A76" i="1" l="1"/>
  <c r="B75" i="1"/>
  <c r="C75" i="1"/>
  <c r="B76" i="1" l="1"/>
  <c r="C76" i="1"/>
  <c r="A77" i="1"/>
  <c r="A78" i="1" l="1"/>
  <c r="B77" i="1"/>
  <c r="C77" i="1"/>
  <c r="A79" i="1" l="1"/>
  <c r="B78" i="1"/>
  <c r="C78" i="1"/>
  <c r="C79" i="1" l="1"/>
  <c r="A80" i="1"/>
  <c r="B79" i="1"/>
  <c r="C80" i="1" l="1"/>
  <c r="A81" i="1"/>
  <c r="B80" i="1"/>
  <c r="C81" i="1" l="1"/>
  <c r="A82" i="1"/>
  <c r="B81" i="1"/>
  <c r="B82" i="1" l="1"/>
  <c r="C82" i="1"/>
  <c r="A83" i="1"/>
  <c r="B83" i="1" l="1"/>
  <c r="C83" i="1"/>
  <c r="A84" i="1"/>
  <c r="B84" i="1" l="1"/>
  <c r="C84" i="1"/>
  <c r="A85" i="1"/>
  <c r="A86" i="1" l="1"/>
  <c r="B85" i="1"/>
  <c r="C85" i="1"/>
  <c r="B86" i="1" l="1"/>
  <c r="A87" i="1"/>
  <c r="C86" i="1"/>
  <c r="B87" i="1" l="1"/>
  <c r="C87" i="1"/>
  <c r="A88" i="1"/>
  <c r="C88" i="1" l="1"/>
  <c r="B88" i="1"/>
  <c r="A89" i="1"/>
  <c r="A90" i="1" l="1"/>
  <c r="B89" i="1"/>
  <c r="C89" i="1"/>
  <c r="B90" i="1" l="1"/>
  <c r="A91" i="1"/>
  <c r="C90" i="1"/>
  <c r="C91" i="1" l="1"/>
  <c r="B91" i="1"/>
  <c r="A92" i="1"/>
  <c r="C92" i="1" l="1"/>
  <c r="B92" i="1"/>
  <c r="A93" i="1"/>
  <c r="C93" i="1" l="1"/>
  <c r="A94" i="1"/>
  <c r="B93" i="1"/>
  <c r="B94" i="1" l="1"/>
  <c r="C94" i="1"/>
  <c r="A95" i="1"/>
  <c r="C95" i="1" l="1"/>
  <c r="A96" i="1"/>
  <c r="B95" i="1"/>
  <c r="B96" i="1" l="1"/>
  <c r="C96" i="1"/>
  <c r="A97" i="1"/>
  <c r="A98" i="1" l="1"/>
  <c r="B97" i="1"/>
  <c r="C97" i="1"/>
  <c r="A99" i="1" l="1"/>
  <c r="B98" i="1"/>
  <c r="C98" i="1"/>
  <c r="B99" i="1" l="1"/>
  <c r="C99" i="1"/>
  <c r="A100" i="1"/>
  <c r="B100" i="1" l="1"/>
  <c r="C100" i="1"/>
  <c r="A101" i="1"/>
  <c r="B101" i="1" l="1"/>
  <c r="C101" i="1"/>
  <c r="A102" i="1"/>
  <c r="B102" i="1" l="1"/>
  <c r="C102" i="1"/>
  <c r="A103" i="1"/>
  <c r="B103" i="1" l="1"/>
  <c r="C103" i="1"/>
  <c r="A104" i="1"/>
  <c r="B104" i="1" l="1"/>
  <c r="C104" i="1"/>
  <c r="A105" i="1"/>
  <c r="C105" i="1" l="1"/>
  <c r="A106" i="1"/>
  <c r="B105" i="1"/>
  <c r="B106" i="1" l="1"/>
  <c r="A107" i="1"/>
  <c r="C106" i="1"/>
  <c r="C107" i="1" l="1"/>
  <c r="A108" i="1"/>
  <c r="B107" i="1"/>
  <c r="A109" i="1" l="1"/>
  <c r="C108" i="1"/>
  <c r="B108" i="1"/>
  <c r="B109" i="1" l="1"/>
  <c r="C109" i="1"/>
  <c r="A110" i="1"/>
  <c r="B110" i="1" l="1"/>
  <c r="A111" i="1"/>
  <c r="C110" i="1"/>
  <c r="B111" i="1" l="1"/>
  <c r="A112" i="1"/>
  <c r="C111" i="1"/>
  <c r="B112" i="1" l="1"/>
  <c r="A113" i="1"/>
  <c r="C112" i="1"/>
  <c r="C113" i="1" l="1"/>
  <c r="A114" i="1"/>
  <c r="B113" i="1"/>
  <c r="C114" i="1" l="1"/>
  <c r="A115" i="1"/>
  <c r="B114" i="1"/>
  <c r="B115" i="1" l="1"/>
  <c r="C115" i="1"/>
  <c r="A116" i="1"/>
  <c r="B116" i="1" l="1"/>
  <c r="A117" i="1"/>
  <c r="C116" i="1"/>
  <c r="C117" i="1" l="1"/>
  <c r="B1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<sst xmlns="http://schemas.openxmlformats.org/spreadsheetml/2006/main" count="68" uniqueCount="49">
  <si>
    <t>Inner Angle</t>
  </si>
  <si>
    <r>
      <t>d</t>
    </r>
    <r>
      <rPr>
        <vertAlign val="sub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Calibri"/>
        <family val="2"/>
      </rPr>
      <t>°)</t>
    </r>
  </si>
  <si>
    <t>Turn Radius</t>
  </si>
  <si>
    <r>
      <t>r</t>
    </r>
    <r>
      <rPr>
        <vertAlign val="subscript"/>
        <sz val="11"/>
        <color theme="1"/>
        <rFont val="Calibri"/>
        <family val="2"/>
      </rPr>
      <t>t</t>
    </r>
    <r>
      <rPr>
        <sz val="11"/>
        <color theme="1"/>
        <rFont val="Calibri"/>
        <family val="2"/>
      </rPr>
      <t xml:space="preserve"> (mm)</t>
    </r>
  </si>
  <si>
    <t>Outer Angle</t>
  </si>
  <si>
    <t>Track Width</t>
  </si>
  <si>
    <t>mm</t>
  </si>
  <si>
    <t>Wheelbase</t>
  </si>
  <si>
    <t>Min Radius</t>
  </si>
  <si>
    <t xml:space="preserve">W  </t>
  </si>
  <si>
    <t xml:space="preserve">L  </t>
  </si>
  <si>
    <r>
      <t>R</t>
    </r>
    <r>
      <rPr>
        <vertAlign val="subscript"/>
        <sz val="11"/>
        <color theme="1"/>
        <rFont val="Calibri"/>
        <family val="2"/>
      </rPr>
      <t>min</t>
    </r>
    <r>
      <rPr>
        <sz val="11"/>
        <color theme="1"/>
        <rFont val="Calibri"/>
        <family val="2"/>
      </rPr>
      <t xml:space="preserve">  </t>
    </r>
  </si>
  <si>
    <t>Trapezoidal Steering Angles</t>
  </si>
  <si>
    <t>W</t>
  </si>
  <si>
    <t>d</t>
  </si>
  <si>
    <t>b</t>
  </si>
  <si>
    <r>
      <t>d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 (°)</t>
    </r>
  </si>
  <si>
    <t>°</t>
  </si>
  <si>
    <t>Steering Movement (mm)</t>
  </si>
  <si>
    <t>L4</t>
  </si>
  <si>
    <t>½ L4 =</t>
  </si>
  <si>
    <t>Four bar Linkage</t>
  </si>
  <si>
    <t>theta_2</t>
  </si>
  <si>
    <t>BD</t>
  </si>
  <si>
    <t>W^2</t>
  </si>
  <si>
    <t>d^2</t>
  </si>
  <si>
    <t>gamma</t>
  </si>
  <si>
    <t>theta_4</t>
  </si>
  <si>
    <t>theta_3</t>
  </si>
  <si>
    <t>BD^2</t>
  </si>
  <si>
    <t>L4^2</t>
  </si>
  <si>
    <t>alpha</t>
  </si>
  <si>
    <t>delta</t>
  </si>
  <si>
    <t>theta_5</t>
  </si>
  <si>
    <t>slcx</t>
  </si>
  <si>
    <t>slcy</t>
  </si>
  <si>
    <t>delta_i</t>
  </si>
  <si>
    <t>delta_o</t>
  </si>
  <si>
    <t>Ackermann</t>
  </si>
  <si>
    <t>Lateral</t>
  </si>
  <si>
    <t>Longitudinal</t>
  </si>
  <si>
    <t>Rule of Thumb</t>
  </si>
  <si>
    <t>beta</t>
  </si>
  <si>
    <t>W/d</t>
  </si>
  <si>
    <t xml:space="preserve">
</t>
  </si>
  <si>
    <t>L</t>
  </si>
  <si>
    <t>Rmin</t>
  </si>
  <si>
    <t>* if blank W/d controls value of d</t>
  </si>
  <si>
    <t>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</si>
</sst>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Outer Angle vs Inner Angle</a:t>
            </a:r>
          </a:p>
        </c:rich>
      </c:tx>
      <c:layout>
        <c:manualLayout>
          <c:xMode val="edge"/>
          <c:yMode val="edge"/>
          <c:x val="0.12237084802137081"/>
          <c:y val="1.3229796000712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Ackermann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Sheet1!$B$8:$B$117</c:f>
              <c:numCache>
                <c:formatCode>General</c:formatCode>
                <c:ptCount val="110"/>
                <c:pt idx="0">
                  <c:v>34.5085229876684</c:v>
                </c:pt>
                <c:pt idx="1">
                  <c:v>33.690067525979785</c:v>
                </c:pt>
                <c:pt idx="2">
                  <c:v>32.905242922987902</c:v>
                </c:pt>
                <c:pt idx="3">
                  <c:v>32.152295141282337</c:v>
                </c:pt>
                <c:pt idx="4">
                  <c:v>31.429565614838516</c:v>
                </c:pt>
                <c:pt idx="5">
                  <c:v>30.735487701920107</c:v>
                </c:pt>
                <c:pt idx="6">
                  <c:v>30.068582821862453</c:v>
                </c:pt>
                <c:pt idx="7">
                  <c:v>29.427456403189737</c:v>
                </c:pt>
                <c:pt idx="8">
                  <c:v>28.810793742973065</c:v>
                </c:pt>
                <c:pt idx="9">
                  <c:v>28.217355854729298</c:v>
                </c:pt>
                <c:pt idx="10">
                  <c:v>27.645975363738678</c:v>
                </c:pt>
                <c:pt idx="11">
                  <c:v>27.0955524937518</c:v>
                </c:pt>
                <c:pt idx="12">
                  <c:v>26.56505117707799</c:v>
                </c:pt>
                <c:pt idx="13">
                  <c:v>26.053495310490948</c:v>
                </c:pt>
                <c:pt idx="14">
                  <c:v>25.559965171823812</c:v>
                </c:pt>
                <c:pt idx="15">
                  <c:v>25.083594006190918</c:v>
                </c:pt>
                <c:pt idx="16">
                  <c:v>24.623564786163612</c:v>
                </c:pt>
                <c:pt idx="17">
                  <c:v>24.179107146689176</c:v>
                </c:pt>
                <c:pt idx="18">
                  <c:v>23.749494492866763</c:v>
                </c:pt>
                <c:pt idx="19">
                  <c:v>23.33404127670978</c:v>
                </c:pt>
                <c:pt idx="20">
                  <c:v>22.932100437589785</c:v>
                </c:pt>
                <c:pt idx="21">
                  <c:v>22.543061000057879</c:v>
                </c:pt>
                <c:pt idx="22">
                  <c:v>22.166345822082459</c:v>
                </c:pt>
                <c:pt idx="23">
                  <c:v>21.801409486351812</c:v>
                </c:pt>
                <c:pt idx="24">
                  <c:v>21.44773632710535</c:v>
                </c:pt>
                <c:pt idx="25">
                  <c:v>21.104838584929634</c:v>
                </c:pt>
                <c:pt idx="26">
                  <c:v>20.77225468204583</c:v>
                </c:pt>
                <c:pt idx="27">
                  <c:v>20.449547610792582</c:v>
                </c:pt>
                <c:pt idx="28">
                  <c:v>20.136303428248134</c:v>
                </c:pt>
                <c:pt idx="29">
                  <c:v>19.832129850218386</c:v>
                </c:pt>
                <c:pt idx="30">
                  <c:v>19.24952587268173</c:v>
                </c:pt>
                <c:pt idx="31">
                  <c:v>18.698982804181121</c:v>
                </c:pt>
                <c:pt idx="32">
                  <c:v>18.178018798418503</c:v>
                </c:pt>
                <c:pt idx="33">
                  <c:v>17.684392026557745</c:v>
                </c:pt>
                <c:pt idx="34">
                  <c:v>17.216073587790714</c:v>
                </c:pt>
                <c:pt idx="35">
                  <c:v>16.771223818630418</c:v>
                </c:pt>
                <c:pt idx="36">
                  <c:v>16.348171547351249</c:v>
                </c:pt>
                <c:pt idx="37">
                  <c:v>15.945395900922854</c:v>
                </c:pt>
                <c:pt idx="38">
                  <c:v>15.561510325328486</c:v>
                </c:pt>
                <c:pt idx="39">
                  <c:v>15.19524852681988</c:v>
                </c:pt>
                <c:pt idx="40">
                  <c:v>14.845452082083824</c:v>
                </c:pt>
                <c:pt idx="41">
                  <c:v>14.51105950016907</c:v>
                </c:pt>
                <c:pt idx="42">
                  <c:v>14.191096549023978</c:v>
                </c:pt>
                <c:pt idx="43">
                  <c:v>13.884667685258171</c:v>
                </c:pt>
                <c:pt idx="44">
                  <c:v>13.590948447841333</c:v>
                </c:pt>
                <c:pt idx="45">
                  <c:v>13.309178695400478</c:v>
                </c:pt>
                <c:pt idx="46">
                  <c:v>13.03865658302297</c:v>
                </c:pt>
                <c:pt idx="47">
                  <c:v>12.778733188406036</c:v>
                </c:pt>
                <c:pt idx="48">
                  <c:v>12.528807709151511</c:v>
                </c:pt>
                <c:pt idx="49">
                  <c:v>12.28832316327534</c:v>
                </c:pt>
                <c:pt idx="50">
                  <c:v>11.833645306160674</c:v>
                </c:pt>
                <c:pt idx="51">
                  <c:v>11.410983126765393</c:v>
                </c:pt>
                <c:pt idx="52">
                  <c:v>11.017111618789212</c:v>
                </c:pt>
                <c:pt idx="53">
                  <c:v>10.649219659244944</c:v>
                </c:pt>
                <c:pt idx="54">
                  <c:v>10.304846468766033</c:v>
                </c:pt>
                <c:pt idx="55">
                  <c:v>9.9818292877331629</c:v>
                </c:pt>
                <c:pt idx="56">
                  <c:v>9.6782600531339451</c:v>
                </c:pt>
                <c:pt idx="57">
                  <c:v>9.3924493408189242</c:v>
                </c:pt>
                <c:pt idx="58">
                  <c:v>9.1228962053784723</c:v>
                </c:pt>
                <c:pt idx="59">
                  <c:v>8.8682628332075932</c:v>
                </c:pt>
                <c:pt idx="60">
                  <c:v>8.6273531440652391</c:v>
                </c:pt>
                <c:pt idx="61">
                  <c:v>8.3990946478524613</c:v>
                </c:pt>
                <c:pt idx="62">
                  <c:v>8.1825229978214029</c:v>
                </c:pt>
                <c:pt idx="63">
                  <c:v>7.9767687875266278</c:v>
                </c:pt>
                <c:pt idx="64">
                  <c:v>7.781046222983524</c:v>
                </c:pt>
                <c:pt idx="65">
                  <c:v>7.594643368591445</c:v>
                </c:pt>
                <c:pt idx="66">
                  <c:v>7.4169137191383898</c:v>
                </c:pt>
                <c:pt idx="67">
                  <c:v>7.2472688934876883</c:v>
                </c:pt>
                <c:pt idx="68">
                  <c:v>7.085172280558897</c:v>
                </c:pt>
                <c:pt idx="69">
                  <c:v>6.9301334966631947</c:v>
                </c:pt>
                <c:pt idx="70">
                  <c:v>6.6394705188936642</c:v>
                </c:pt>
                <c:pt idx="71">
                  <c:v>6.3721113969325121</c:v>
                </c:pt>
                <c:pt idx="72">
                  <c:v>6.1253719401997238</c:v>
                </c:pt>
                <c:pt idx="73">
                  <c:v>5.8969635102108242</c:v>
                </c:pt>
                <c:pt idx="74">
                  <c:v>5.684922987105633</c:v>
                </c:pt>
                <c:pt idx="75">
                  <c:v>5.4875570600912553</c:v>
                </c:pt>
                <c:pt idx="76">
                  <c:v>5.3033975468218699</c:v>
                </c:pt>
                <c:pt idx="77">
                  <c:v>5.131165282896319</c:v>
                </c:pt>
                <c:pt idx="78">
                  <c:v>4.9697407281103043</c:v>
                </c:pt>
                <c:pt idx="79">
                  <c:v>4.8181398792810439</c:v>
                </c:pt>
                <c:pt idx="80">
                  <c:v>4.675494407173292</c:v>
                </c:pt>
                <c:pt idx="81">
                  <c:v>4.5410351797050206</c:v>
                </c:pt>
                <c:pt idx="82">
                  <c:v>4.4140785178981741</c:v>
                </c:pt>
                <c:pt idx="83">
                  <c:v>4.294014671036531</c:v>
                </c:pt>
                <c:pt idx="84">
                  <c:v>4.1802981046953471</c:v>
                </c:pt>
                <c:pt idx="85">
                  <c:v>4.0724392780193002</c:v>
                </c:pt>
                <c:pt idx="86">
                  <c:v>3.9699976508981791</c:v>
                </c:pt>
                <c:pt idx="87">
                  <c:v>3.8725757119732624</c:v>
                </c:pt>
                <c:pt idx="88">
                  <c:v>3.7798138579992799</c:v>
                </c:pt>
                <c:pt idx="89">
                  <c:v>3.6913859864512757</c:v>
                </c:pt>
                <c:pt idx="90">
                  <c:v>3.5263729475548127</c:v>
                </c:pt>
                <c:pt idx="91">
                  <c:v>3.3754651863028751</c:v>
                </c:pt>
                <c:pt idx="92">
                  <c:v>3.236930109017643</c:v>
                </c:pt>
                <c:pt idx="93">
                  <c:v>3.1093074509352618</c:v>
                </c:pt>
                <c:pt idx="94">
                  <c:v>2.9913578407343731</c:v>
                </c:pt>
                <c:pt idx="95">
                  <c:v>2.8820225887940696</c:v>
                </c:pt>
                <c:pt idx="96">
                  <c:v>2.7803919443497076</c:v>
                </c:pt>
                <c:pt idx="97">
                  <c:v>2.6856798127331287</c:v>
                </c:pt>
                <c:pt idx="98">
                  <c:v>2.597203450222775</c:v>
                </c:pt>
                <c:pt idx="99">
                  <c:v>2.5143670302411882</c:v>
                </c:pt>
                <c:pt idx="100">
                  <c:v>2.4366482468101309</c:v>
                </c:pt>
                <c:pt idx="101">
                  <c:v>2.3635873203040489</c:v>
                </c:pt>
                <c:pt idx="102">
                  <c:v>2.2947779177685232</c:v>
                </c:pt>
                <c:pt idx="103">
                  <c:v>2.229859609993496</c:v>
                </c:pt>
                <c:pt idx="104">
                  <c:v>2.1685115703603968</c:v>
                </c:pt>
                <c:pt idx="105">
                  <c:v>2.110447283436748</c:v>
                </c:pt>
                <c:pt idx="106">
                  <c:v>2.0554100795303887</c:v>
                </c:pt>
                <c:pt idx="107">
                  <c:v>2.0031693486618951</c:v>
                </c:pt>
                <c:pt idx="108">
                  <c:v>1.9535173163813975</c:v>
                </c:pt>
                <c:pt idx="109">
                  <c:v>1.9062662865393634</c:v>
                </c:pt>
              </c:numCache>
            </c:numRef>
          </c:xVal>
          <c:yVal>
            <c:numRef>
              <c:f>Sheet1!$C$8:$C$117</c:f>
              <c:numCache>
                <c:formatCode>General</c:formatCode>
                <c:ptCount val="110"/>
                <c:pt idx="0">
                  <c:v>24.623564786163612</c:v>
                </c:pt>
                <c:pt idx="1">
                  <c:v>24.179107146689176</c:v>
                </c:pt>
                <c:pt idx="2">
                  <c:v>23.749494492866763</c:v>
                </c:pt>
                <c:pt idx="3">
                  <c:v>23.33404127670978</c:v>
                </c:pt>
                <c:pt idx="4">
                  <c:v>22.932100437589785</c:v>
                </c:pt>
                <c:pt idx="5">
                  <c:v>22.543061000057879</c:v>
                </c:pt>
                <c:pt idx="6">
                  <c:v>22.166345822082459</c:v>
                </c:pt>
                <c:pt idx="7">
                  <c:v>21.801409486351812</c:v>
                </c:pt>
                <c:pt idx="8">
                  <c:v>21.44773632710535</c:v>
                </c:pt>
                <c:pt idx="9">
                  <c:v>21.104838584929634</c:v>
                </c:pt>
                <c:pt idx="10">
                  <c:v>20.77225468204583</c:v>
                </c:pt>
                <c:pt idx="11">
                  <c:v>20.449547610792582</c:v>
                </c:pt>
                <c:pt idx="12">
                  <c:v>20.136303428248134</c:v>
                </c:pt>
                <c:pt idx="13">
                  <c:v>19.832129850218386</c:v>
                </c:pt>
                <c:pt idx="14">
                  <c:v>19.53665493812839</c:v>
                </c:pt>
                <c:pt idx="15">
                  <c:v>19.24952587268173</c:v>
                </c:pt>
                <c:pt idx="16">
                  <c:v>18.970407808486545</c:v>
                </c:pt>
                <c:pt idx="17">
                  <c:v>18.698982804181121</c:v>
                </c:pt>
                <c:pt idx="18">
                  <c:v>18.43494882292201</c:v>
                </c:pt>
                <c:pt idx="19">
                  <c:v>18.178018798418503</c:v>
                </c:pt>
                <c:pt idx="20">
                  <c:v>17.927919762007239</c:v>
                </c:pt>
                <c:pt idx="21">
                  <c:v>17.684392026557745</c:v>
                </c:pt>
                <c:pt idx="22">
                  <c:v>17.447188423282203</c:v>
                </c:pt>
                <c:pt idx="23">
                  <c:v>17.216073587790714</c:v>
                </c:pt>
                <c:pt idx="24">
                  <c:v>16.990823291986167</c:v>
                </c:pt>
                <c:pt idx="25">
                  <c:v>16.771223818630418</c:v>
                </c:pt>
                <c:pt idx="26">
                  <c:v>16.557071375636653</c:v>
                </c:pt>
                <c:pt idx="27">
                  <c:v>16.348171547351249</c:v>
                </c:pt>
                <c:pt idx="28">
                  <c:v>16.144338780283483</c:v>
                </c:pt>
                <c:pt idx="29">
                  <c:v>15.945395900922854</c:v>
                </c:pt>
                <c:pt idx="30">
                  <c:v>15.561510325328486</c:v>
                </c:pt>
                <c:pt idx="31">
                  <c:v>15.19524852681988</c:v>
                </c:pt>
                <c:pt idx="32">
                  <c:v>14.845452082083824</c:v>
                </c:pt>
                <c:pt idx="33">
                  <c:v>14.51105950016907</c:v>
                </c:pt>
                <c:pt idx="34">
                  <c:v>14.191096549023978</c:v>
                </c:pt>
                <c:pt idx="35">
                  <c:v>13.884667685258171</c:v>
                </c:pt>
                <c:pt idx="36">
                  <c:v>13.590948447841333</c:v>
                </c:pt>
                <c:pt idx="37">
                  <c:v>13.309178695400478</c:v>
                </c:pt>
                <c:pt idx="38">
                  <c:v>13.03865658302297</c:v>
                </c:pt>
                <c:pt idx="39">
                  <c:v>12.778733188406036</c:v>
                </c:pt>
                <c:pt idx="40">
                  <c:v>12.528807709151511</c:v>
                </c:pt>
                <c:pt idx="41">
                  <c:v>12.28832316327534</c:v>
                </c:pt>
                <c:pt idx="42">
                  <c:v>12.056762533832631</c:v>
                </c:pt>
                <c:pt idx="43">
                  <c:v>11.833645306160674</c:v>
                </c:pt>
                <c:pt idx="44">
                  <c:v>11.618524352794635</c:v>
                </c:pt>
                <c:pt idx="45">
                  <c:v>11.410983126765393</c:v>
                </c:pt>
                <c:pt idx="46">
                  <c:v>11.210633128876674</c:v>
                </c:pt>
                <c:pt idx="47">
                  <c:v>11.017111618789212</c:v>
                </c:pt>
                <c:pt idx="48">
                  <c:v>10.830079543407003</c:v>
                </c:pt>
                <c:pt idx="49">
                  <c:v>10.649219659244944</c:v>
                </c:pt>
                <c:pt idx="50">
                  <c:v>10.304846468766033</c:v>
                </c:pt>
                <c:pt idx="51">
                  <c:v>9.9818292877331629</c:v>
                </c:pt>
                <c:pt idx="52">
                  <c:v>9.6782600531339451</c:v>
                </c:pt>
                <c:pt idx="53">
                  <c:v>9.3924493408189242</c:v>
                </c:pt>
                <c:pt idx="54">
                  <c:v>9.1228962053784723</c:v>
                </c:pt>
                <c:pt idx="55">
                  <c:v>8.8682628332075932</c:v>
                </c:pt>
                <c:pt idx="56">
                  <c:v>8.6273531440652391</c:v>
                </c:pt>
                <c:pt idx="57">
                  <c:v>8.3990946478524613</c:v>
                </c:pt>
                <c:pt idx="58">
                  <c:v>8.1825229978214029</c:v>
                </c:pt>
                <c:pt idx="59">
                  <c:v>7.9767687875266278</c:v>
                </c:pt>
                <c:pt idx="60">
                  <c:v>7.781046222983524</c:v>
                </c:pt>
                <c:pt idx="61">
                  <c:v>7.594643368591445</c:v>
                </c:pt>
                <c:pt idx="62">
                  <c:v>7.4169137191383898</c:v>
                </c:pt>
                <c:pt idx="63">
                  <c:v>7.2472688934876883</c:v>
                </c:pt>
                <c:pt idx="64">
                  <c:v>7.085172280558897</c:v>
                </c:pt>
                <c:pt idx="65">
                  <c:v>6.9301334966631947</c:v>
                </c:pt>
                <c:pt idx="66">
                  <c:v>6.781703536468549</c:v>
                </c:pt>
                <c:pt idx="67">
                  <c:v>6.6394705188936642</c:v>
                </c:pt>
                <c:pt idx="68">
                  <c:v>6.5030559448816971</c:v>
                </c:pt>
                <c:pt idx="69">
                  <c:v>6.3721113969325121</c:v>
                </c:pt>
                <c:pt idx="70">
                  <c:v>6.1253719401997238</c:v>
                </c:pt>
                <c:pt idx="71">
                  <c:v>5.8969635102108242</c:v>
                </c:pt>
                <c:pt idx="72">
                  <c:v>5.684922987105633</c:v>
                </c:pt>
                <c:pt idx="73">
                  <c:v>5.4875570600912553</c:v>
                </c:pt>
                <c:pt idx="74">
                  <c:v>5.3033975468218699</c:v>
                </c:pt>
                <c:pt idx="75">
                  <c:v>5.131165282896319</c:v>
                </c:pt>
                <c:pt idx="76">
                  <c:v>4.9697407281103043</c:v>
                </c:pt>
                <c:pt idx="77">
                  <c:v>4.8181398792810439</c:v>
                </c:pt>
                <c:pt idx="78">
                  <c:v>4.675494407173292</c:v>
                </c:pt>
                <c:pt idx="79">
                  <c:v>4.5410351797050206</c:v>
                </c:pt>
                <c:pt idx="80">
                  <c:v>4.4140785178981741</c:v>
                </c:pt>
                <c:pt idx="81">
                  <c:v>4.294014671036531</c:v>
                </c:pt>
                <c:pt idx="82">
                  <c:v>4.1802981046953471</c:v>
                </c:pt>
                <c:pt idx="83">
                  <c:v>4.0724392780193002</c:v>
                </c:pt>
                <c:pt idx="84">
                  <c:v>3.9699976508981791</c:v>
                </c:pt>
                <c:pt idx="85">
                  <c:v>3.8725757119732624</c:v>
                </c:pt>
                <c:pt idx="86">
                  <c:v>3.7798138579992799</c:v>
                </c:pt>
                <c:pt idx="87">
                  <c:v>3.6913859864512757</c:v>
                </c:pt>
                <c:pt idx="88">
                  <c:v>3.6069956882565601</c:v>
                </c:pt>
                <c:pt idx="89">
                  <c:v>3.5263729475548127</c:v>
                </c:pt>
                <c:pt idx="90">
                  <c:v>3.3754651863028751</c:v>
                </c:pt>
                <c:pt idx="91">
                  <c:v>3.236930109017643</c:v>
                </c:pt>
                <c:pt idx="92">
                  <c:v>3.1093074509352618</c:v>
                </c:pt>
                <c:pt idx="93">
                  <c:v>2.9913578407343731</c:v>
                </c:pt>
                <c:pt idx="94">
                  <c:v>2.8820225887940696</c:v>
                </c:pt>
                <c:pt idx="95">
                  <c:v>2.7803919443497076</c:v>
                </c:pt>
                <c:pt idx="96">
                  <c:v>2.6856798127331287</c:v>
                </c:pt>
                <c:pt idx="97">
                  <c:v>2.597203450222775</c:v>
                </c:pt>
                <c:pt idx="98">
                  <c:v>2.5143670302411882</c:v>
                </c:pt>
                <c:pt idx="99">
                  <c:v>2.4366482468101309</c:v>
                </c:pt>
                <c:pt idx="100">
                  <c:v>2.3635873203040489</c:v>
                </c:pt>
                <c:pt idx="101">
                  <c:v>2.2947779177685232</c:v>
                </c:pt>
                <c:pt idx="102">
                  <c:v>2.229859609993496</c:v>
                </c:pt>
                <c:pt idx="103">
                  <c:v>2.1685115703603968</c:v>
                </c:pt>
                <c:pt idx="104">
                  <c:v>2.110447283436748</c:v>
                </c:pt>
                <c:pt idx="105">
                  <c:v>2.0554100795303887</c:v>
                </c:pt>
                <c:pt idx="106">
                  <c:v>2.0031693486618951</c:v>
                </c:pt>
                <c:pt idx="107">
                  <c:v>1.9535173163813975</c:v>
                </c:pt>
                <c:pt idx="108">
                  <c:v>1.9062662865393634</c:v>
                </c:pt>
                <c:pt idx="109">
                  <c:v>1.8612462739986231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D-415C-8707-114CC22668CE}"/>
            </c:ext>
          </c:extLst>
        </c:ser>
        <c:ser>
          <c:idx val="1"/>
          <c:order val="1"/>
          <c:tx>
            <c:v>Trapezoid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Sheet2!$Y$4:$Y$44</c:f>
              <c:numCache>
                <c:formatCode>General</c:formatCode>
                <c:ptCount val="41"/>
                <c:pt idx="0">
                  <c:v>0</c:v>
                </c:pt>
                <c:pt idx="1">
                  <c:v>0.86271307469171332</c:v>
                </c:pt>
                <c:pt idx="2">
                  <c:v>1.7254261493834266</c:v>
                </c:pt>
                <c:pt idx="3">
                  <c:v>2.5881392240751402</c:v>
                </c:pt>
                <c:pt idx="4">
                  <c:v>3.4508522987668533</c:v>
                </c:pt>
                <c:pt idx="5">
                  <c:v>4.3135653734585668</c:v>
                </c:pt>
                <c:pt idx="6">
                  <c:v>5.1762784481502804</c:v>
                </c:pt>
                <c:pt idx="7">
                  <c:v>6.0389915228419939</c:v>
                </c:pt>
                <c:pt idx="8">
                  <c:v>6.9017045975337004</c:v>
                </c:pt>
                <c:pt idx="9">
                  <c:v>7.7644176722254077</c:v>
                </c:pt>
                <c:pt idx="10">
                  <c:v>8.6271307469171141</c:v>
                </c:pt>
                <c:pt idx="11">
                  <c:v>9.4898438216088223</c:v>
                </c:pt>
                <c:pt idx="12">
                  <c:v>10.352556896300529</c:v>
                </c:pt>
                <c:pt idx="13">
                  <c:v>11.215269970992235</c:v>
                </c:pt>
                <c:pt idx="14">
                  <c:v>12.077983045683942</c:v>
                </c:pt>
                <c:pt idx="15">
                  <c:v>12.94069612037565</c:v>
                </c:pt>
                <c:pt idx="16">
                  <c:v>13.803409195067356</c:v>
                </c:pt>
                <c:pt idx="17">
                  <c:v>14.666122269759063</c:v>
                </c:pt>
                <c:pt idx="18">
                  <c:v>15.528835344450771</c:v>
                </c:pt>
                <c:pt idx="19">
                  <c:v>16.391548419142477</c:v>
                </c:pt>
                <c:pt idx="20">
                  <c:v>17.254261493834186</c:v>
                </c:pt>
                <c:pt idx="21">
                  <c:v>18.11697456852589</c:v>
                </c:pt>
                <c:pt idx="22">
                  <c:v>18.979687643217598</c:v>
                </c:pt>
                <c:pt idx="23">
                  <c:v>19.842400717909307</c:v>
                </c:pt>
                <c:pt idx="24">
                  <c:v>20.705113792601011</c:v>
                </c:pt>
                <c:pt idx="25">
                  <c:v>21.56782686729272</c:v>
                </c:pt>
                <c:pt idx="26">
                  <c:v>22.430539941984428</c:v>
                </c:pt>
                <c:pt idx="27">
                  <c:v>23.293253016676132</c:v>
                </c:pt>
                <c:pt idx="28">
                  <c:v>24.155966091367841</c:v>
                </c:pt>
                <c:pt idx="29">
                  <c:v>25.018679166059549</c:v>
                </c:pt>
                <c:pt idx="30">
                  <c:v>25.881392240751254</c:v>
                </c:pt>
                <c:pt idx="31">
                  <c:v>26.744105315442962</c:v>
                </c:pt>
                <c:pt idx="32">
                  <c:v>27.60681839013467</c:v>
                </c:pt>
                <c:pt idx="33">
                  <c:v>28.469531464826375</c:v>
                </c:pt>
                <c:pt idx="34">
                  <c:v>29.332244539518083</c:v>
                </c:pt>
                <c:pt idx="35">
                  <c:v>30.194957614209791</c:v>
                </c:pt>
                <c:pt idx="36">
                  <c:v>31.057670688901496</c:v>
                </c:pt>
                <c:pt idx="37">
                  <c:v>31.920383763593204</c:v>
                </c:pt>
                <c:pt idx="38">
                  <c:v>32.783096838284912</c:v>
                </c:pt>
                <c:pt idx="39">
                  <c:v>33.645809912976617</c:v>
                </c:pt>
                <c:pt idx="40">
                  <c:v>34.508522987668321</c:v>
                </c:pt>
              </c:numCache>
            </c:numRef>
          </c:xVal>
          <c:yVal>
            <c:numRef>
              <c:f>Sheet2!$Z$4:$Z$44</c:f>
              <c:numCache>
                <c:formatCode>General</c:formatCode>
                <c:ptCount val="41"/>
                <c:pt idx="0">
                  <c:v>0</c:v>
                </c:pt>
                <c:pt idx="1">
                  <c:v>0.85467304303512093</c:v>
                </c:pt>
                <c:pt idx="2">
                  <c:v>1.693545873000462</c:v>
                </c:pt>
                <c:pt idx="3">
                  <c:v>2.517002990253435</c:v>
                </c:pt>
                <c:pt idx="4">
                  <c:v>3.3253855834305743</c:v>
                </c:pt>
                <c:pt idx="5">
                  <c:v>4.1189956685263542</c:v>
                </c:pt>
                <c:pt idx="6">
                  <c:v>4.8980996953989715</c:v>
                </c:pt>
                <c:pt idx="7">
                  <c:v>5.66293170339247</c:v>
                </c:pt>
                <c:pt idx="8">
                  <c:v>6.413696093583984</c:v>
                </c:pt>
                <c:pt idx="9">
                  <c:v>7.1505700737721796</c:v>
                </c:pt>
                <c:pt idx="10">
                  <c:v>7.8737058231086463</c:v>
                </c:pt>
                <c:pt idx="11">
                  <c:v>8.5832324157835895</c:v>
                </c:pt>
                <c:pt idx="12">
                  <c:v>9.279257537047787</c:v>
                </c:pt>
                <c:pt idx="13">
                  <c:v>9.9618690198253024</c:v>
                </c:pt>
                <c:pt idx="14">
                  <c:v>10.631136226009696</c:v>
                </c:pt>
                <c:pt idx="15">
                  <c:v>11.287111293091611</c:v>
                </c:pt>
                <c:pt idx="16">
                  <c:v>11.92983026389328</c:v>
                </c:pt>
                <c:pt idx="17">
                  <c:v>12.559314114782623</c:v>
                </c:pt>
                <c:pt idx="18">
                  <c:v>13.175569695721444</c:v>
                </c:pt>
                <c:pt idx="19">
                  <c:v>13.778590593799462</c:v>
                </c:pt>
                <c:pt idx="20">
                  <c:v>14.368357930468678</c:v>
                </c:pt>
                <c:pt idx="21">
                  <c:v>14.944841101464752</c:v>
                </c:pt>
                <c:pt idx="22">
                  <c:v>15.507998467360958</c:v>
                </c:pt>
                <c:pt idx="23">
                  <c:v>16.057778001804952</c:v>
                </c:pt>
                <c:pt idx="24">
                  <c:v>16.594117903718995</c:v>
                </c:pt>
                <c:pt idx="25">
                  <c:v>17.11694717908059</c:v>
                </c:pt>
                <c:pt idx="26">
                  <c:v>17.626186197322113</c:v>
                </c:pt>
                <c:pt idx="27">
                  <c:v>18.121747226882647</c:v>
                </c:pt>
                <c:pt idx="28">
                  <c:v>18.603534954003859</c:v>
                </c:pt>
                <c:pt idx="29">
                  <c:v>19.071446988463563</c:v>
                </c:pt>
                <c:pt idx="30">
                  <c:v>19.525374359593943</c:v>
                </c:pt>
                <c:pt idx="31">
                  <c:v>19.965202005608898</c:v>
                </c:pt>
                <c:pt idx="32">
                  <c:v>20.390809258977832</c:v>
                </c:pt>
                <c:pt idx="33">
                  <c:v>20.802070330314439</c:v>
                </c:pt>
                <c:pt idx="34">
                  <c:v>21.198854792998759</c:v>
                </c:pt>
                <c:pt idx="35">
                  <c:v>21.581028070511866</c:v>
                </c:pt>
                <c:pt idx="36">
                  <c:v>21.948451928238871</c:v>
                </c:pt>
                <c:pt idx="37">
                  <c:v>22.300984971270228</c:v>
                </c:pt>
                <c:pt idx="38">
                  <c:v>22.638483149516716</c:v>
                </c:pt>
                <c:pt idx="39">
                  <c:v>22.960800271238941</c:v>
                </c:pt>
                <c:pt idx="40">
                  <c:v>23.267788525872934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1-4302-B200-830CD480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00079"/>
        <c:axId val="544600559"/>
      </c:scatterChart>
      <c:valAx>
        <c:axId val="54460007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latin typeface="Symbol" panose="05050102010706020507" pitchFamily="18" charset="2"/>
                  </a:rPr>
                  <a:t>d</a:t>
                </a:r>
                <a:r>
                  <a:rPr lang="en-US" sz="2000" baseline="-25000"/>
                  <a:t>i</a:t>
                </a:r>
                <a:r>
                  <a:rPr lang="en-US" sz="2000"/>
                  <a:t> (°)</a:t>
                </a:r>
              </a:p>
            </c:rich>
          </c:tx>
          <c:layout>
            <c:manualLayout>
              <c:xMode val="edge"/>
              <c:yMode val="edge"/>
              <c:x val="0.50323130988474096"/>
              <c:y val="0.92293597080299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00559"/>
        <c:crosses val="autoZero"/>
        <c:crossBetween val="midCat"/>
        <c:majorUnit val="5"/>
      </c:valAx>
      <c:valAx>
        <c:axId val="54460055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latin typeface="Symbol" panose="05050102010706020507" pitchFamily="18" charset="2"/>
                  </a:rPr>
                  <a:t>d</a:t>
                </a:r>
                <a:r>
                  <a:rPr lang="en-US" sz="2000" baseline="-25000"/>
                  <a:t>o</a:t>
                </a:r>
                <a:r>
                  <a:rPr lang="en-US" sz="2000"/>
                  <a:t>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0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31338801084479"/>
          <c:y val="0.64686142993203866"/>
          <c:w val="0.27310516508120919"/>
          <c:h val="7.80077758807923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Movement of</a:t>
            </a:r>
            <a:r>
              <a:rPr lang="en-IE" baseline="0"/>
              <a:t> Centre Point of Link 4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>
        <c:manualLayout>
          <c:layoutTarget val="inner"/>
          <c:xMode val="edge"/>
          <c:yMode val="edge"/>
          <c:x val="0.12346056193672222"/>
          <c:y val="9.6539179163731656E-2"/>
          <c:w val="0.74781894874603028"/>
          <c:h val="0.756216624211845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Sheet2!$AG$4:$AG$44</c:f>
              <c:numCache>
                <c:formatCode>General</c:formatCode>
                <c:ptCount val="41"/>
                <c:pt idx="0">
                  <c:v>0</c:v>
                </c:pt>
                <c:pt idx="1">
                  <c:v>0.53877120574665582</c:v>
                </c:pt>
                <c:pt idx="2">
                  <c:v>1.0723577875091195</c:v>
                </c:pt>
                <c:pt idx="3">
                  <c:v>1.6006638095872887</c:v>
                </c:pt>
                <c:pt idx="4">
                  <c:v>2.1235906886662832</c:v>
                </c:pt>
                <c:pt idx="5">
                  <c:v>2.6410375500583569</c:v>
                </c:pt>
                <c:pt idx="6">
                  <c:v>3.1529015395999807</c:v>
                </c:pt>
                <c:pt idx="7">
                  <c:v>3.6590780980114204</c:v>
                </c:pt>
                <c:pt idx="8">
                  <c:v>4.159461203343227</c:v>
                </c:pt>
                <c:pt idx="9">
                  <c:v>4.6539435861856902</c:v>
                </c:pt>
                <c:pt idx="10">
                  <c:v>5.142416921551785</c:v>
                </c:pt>
                <c:pt idx="11">
                  <c:v>5.6247720007236666</c:v>
                </c:pt>
                <c:pt idx="12">
                  <c:v>6.1008988858452682</c:v>
                </c:pt>
                <c:pt idx="13">
                  <c:v>6.5706870496314735</c:v>
                </c:pt>
                <c:pt idx="14">
                  <c:v>7.0340255022213682</c:v>
                </c:pt>
                <c:pt idx="15">
                  <c:v>7.4908029069231929</c:v>
                </c:pt>
                <c:pt idx="16">
                  <c:v>7.9409076863664154</c:v>
                </c:pt>
                <c:pt idx="17">
                  <c:v>8.3842281203824172</c:v>
                </c:pt>
                <c:pt idx="18">
                  <c:v>8.8206524367758448</c:v>
                </c:pt>
                <c:pt idx="19">
                  <c:v>9.2500688960142412</c:v>
                </c:pt>
                <c:pt idx="20">
                  <c:v>9.6723658707531825</c:v>
                </c:pt>
                <c:pt idx="21">
                  <c:v>10.087431921020425</c:v>
                </c:pt>
                <c:pt idx="22">
                  <c:v>10.495155865805557</c:v>
                </c:pt>
                <c:pt idx="23">
                  <c:v>10.895426851736815</c:v>
                </c:pt>
                <c:pt idx="24">
                  <c:v>11.288134419472996</c:v>
                </c:pt>
                <c:pt idx="25">
                  <c:v>11.673168568393493</c:v>
                </c:pt>
                <c:pt idx="26">
                  <c:v>12.05041982013212</c:v>
                </c:pt>
                <c:pt idx="27">
                  <c:v>12.419779281469332</c:v>
                </c:pt>
                <c:pt idx="28">
                  <c:v>12.781138707072145</c:v>
                </c:pt>
                <c:pt idx="29">
                  <c:v>13.134390562547978</c:v>
                </c:pt>
                <c:pt idx="30">
                  <c:v>13.479428088262594</c:v>
                </c:pt>
                <c:pt idx="31">
                  <c:v>13.816145364354341</c:v>
                </c:pt>
                <c:pt idx="32">
                  <c:v>14.144437377365605</c:v>
                </c:pt>
                <c:pt idx="33">
                  <c:v>14.464200088898082</c:v>
                </c:pt>
                <c:pt idx="34">
                  <c:v>14.775330506689031</c:v>
                </c:pt>
                <c:pt idx="35">
                  <c:v>15.077726758492076</c:v>
                </c:pt>
                <c:pt idx="36">
                  <c:v>15.371288169137429</c:v>
                </c:pt>
                <c:pt idx="37">
                  <c:v>15.655915341131234</c:v>
                </c:pt>
                <c:pt idx="38">
                  <c:v>15.931510239141957</c:v>
                </c:pt>
                <c:pt idx="39">
                  <c:v>16.197976278706037</c:v>
                </c:pt>
                <c:pt idx="40">
                  <c:v>16.455218419466647</c:v>
                </c:pt>
              </c:numCache>
            </c:numRef>
          </c:xVal>
          <c:yVal>
            <c:numRef>
              <c:f>Sheet2!$AH$4:$AH$44</c:f>
              <c:numCache>
                <c:formatCode>General</c:formatCode>
                <c:ptCount val="41"/>
                <c:pt idx="0">
                  <c:v>0</c:v>
                </c:pt>
                <c:pt idx="1">
                  <c:v>5.2677406226990797E-3</c:v>
                </c:pt>
                <c:pt idx="2">
                  <c:v>2.0878429614434424E-2</c:v>
                </c:pt>
                <c:pt idx="3">
                  <c:v>4.6553522665703895E-2</c:v>
                </c:pt>
                <c:pt idx="4">
                  <c:v>8.2026841809657469E-2</c:v>
                </c:pt>
                <c:pt idx="5">
                  <c:v>0.12704312455191769</c:v>
                </c:pt>
                <c:pt idx="6">
                  <c:v>0.18135676364100561</c:v>
                </c:pt>
                <c:pt idx="7">
                  <c:v>0.24473070913809636</c:v>
                </c:pt>
                <c:pt idx="8">
                  <c:v>0.31693550939942838</c:v>
                </c:pt>
                <c:pt idx="9">
                  <c:v>0.39774847157110571</c:v>
                </c:pt>
                <c:pt idx="10">
                  <c:v>0.48695292542551272</c:v>
                </c:pt>
                <c:pt idx="11">
                  <c:v>0.58433757699886257</c:v>
                </c:pt>
                <c:pt idx="12">
                  <c:v>0.68969594064438411</c:v>
                </c:pt>
                <c:pt idx="13">
                  <c:v>0.8028258398893513</c:v>
                </c:pt>
                <c:pt idx="14">
                  <c:v>0.9235289689526951</c:v>
                </c:pt>
                <c:pt idx="15">
                  <c:v>1.0516105080002731</c:v>
                </c:pt>
                <c:pt idx="16">
                  <c:v>1.1868787862337626</c:v>
                </c:pt>
                <c:pt idx="17">
                  <c:v>1.329144987763172</c:v>
                </c:pt>
                <c:pt idx="18">
                  <c:v>1.4782228959319781</c:v>
                </c:pt>
                <c:pt idx="19">
                  <c:v>1.6339286723701605</c:v>
                </c:pt>
                <c:pt idx="20">
                  <c:v>1.7960806675644392</c:v>
                </c:pt>
                <c:pt idx="21">
                  <c:v>1.9644992601705695</c:v>
                </c:pt>
                <c:pt idx="22">
                  <c:v>2.1390067226638436</c:v>
                </c:pt>
                <c:pt idx="23">
                  <c:v>2.3194271112389941</c:v>
                </c:pt>
                <c:pt idx="24">
                  <c:v>2.5055861781402839</c:v>
                </c:pt>
                <c:pt idx="25">
                  <c:v>2.6973113048311319</c:v>
                </c:pt>
                <c:pt idx="26">
                  <c:v>2.8944314546076271</c:v>
                </c:pt>
                <c:pt idx="27">
                  <c:v>3.0967771434251503</c:v>
                </c:pt>
                <c:pt idx="28">
                  <c:v>3.3041804278466458</c:v>
                </c:pt>
                <c:pt idx="29">
                  <c:v>3.5164749091373722</c:v>
                </c:pt>
                <c:pt idx="30">
                  <c:v>3.7334957526275119</c:v>
                </c:pt>
                <c:pt idx="31">
                  <c:v>3.9550797215424076</c:v>
                </c:pt>
                <c:pt idx="32">
                  <c:v>4.1810652245626301</c:v>
                </c:pt>
                <c:pt idx="33">
                  <c:v>4.4112923764239795</c:v>
                </c:pt>
                <c:pt idx="34">
                  <c:v>4.6456030709022045</c:v>
                </c:pt>
                <c:pt idx="35">
                  <c:v>4.8838410655496673</c:v>
                </c:pt>
                <c:pt idx="36">
                  <c:v>5.1258520775627758</c:v>
                </c:pt>
                <c:pt idx="37">
                  <c:v>5.371483890159773</c:v>
                </c:pt>
                <c:pt idx="38">
                  <c:v>5.6205864688405249</c:v>
                </c:pt>
                <c:pt idx="39">
                  <c:v>5.8730120868821807</c:v>
                </c:pt>
                <c:pt idx="40">
                  <c:v>6.1286154593999669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2-4086-9A9A-4BE8291A7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99631"/>
        <c:axId val="107696751"/>
      </c:scatterChart>
      <c:valAx>
        <c:axId val="107699631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 sz="12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Lateral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6751"/>
        <c:crosses val="autoZero"/>
        <c:crossBetween val="midCat"/>
        <c:majorUnit val="5"/>
        <c:minorUnit val="1"/>
      </c:valAx>
      <c:valAx>
        <c:axId val="107696751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E" sz="12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Forward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9631"/>
        <c:crosses val="autoZero"/>
        <c:crossBetween val="midCat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Trapezoid</a:t>
            </a:r>
            <a:r>
              <a:rPr lang="en-IE" baseline="0"/>
              <a:t> Layout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Straight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Sheet2!$AJ$4:$AJ$7</c:f>
              <c:numCache>
                <c:formatCode>General</c:formatCode>
                <c:ptCount val="4"/>
                <c:pt idx="0">
                  <c:v>0</c:v>
                </c:pt>
                <c:pt idx="1">
                  <c:v>17.5348458715631</c:v>
                </c:pt>
                <c:pt idx="2">
                  <c:v>142.46515412843692</c:v>
                </c:pt>
                <c:pt idx="3">
                  <c:v>160</c:v>
                </c:pt>
              </c:numCache>
            </c:numRef>
          </c:xVal>
          <c:yVal>
            <c:numRef>
              <c:f>Sheet2!$AK$4:$AK$7</c:f>
              <c:numCache>
                <c:formatCode>General</c:formatCode>
                <c:ptCount val="4"/>
                <c:pt idx="0">
                  <c:v>0</c:v>
                </c:pt>
                <c:pt idx="1">
                  <c:v>35.95176185196668</c:v>
                </c:pt>
                <c:pt idx="2">
                  <c:v>35.951761851966687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3-4670-BECA-F0207D8165E4}"/>
            </c:ext>
          </c:extLst>
        </c:ser>
        <c:ser>
          <c:idx val="2"/>
          <c:order val="1"/>
          <c:tx>
            <c:v>Mid Turn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Sheet2!$AJ$18:$AJ$21</c:f>
              <c:numCache>
                <c:formatCode>General</c:formatCode>
                <c:ptCount val="4"/>
                <c:pt idx="0">
                  <c:v>0</c:v>
                </c:pt>
                <c:pt idx="1">
                  <c:v>27.409486502018062</c:v>
                </c:pt>
                <c:pt idx="2">
                  <c:v>151.93524523948832</c:v>
                </c:pt>
                <c:pt idx="3">
                  <c:v>160</c:v>
                </c:pt>
              </c:numCache>
            </c:numRef>
          </c:xVal>
          <c:yVal>
            <c:numRef>
              <c:f>Sheet2!$AK$18:$AK$21</c:f>
              <c:numCache>
                <c:formatCode>General</c:formatCode>
                <c:ptCount val="4"/>
                <c:pt idx="0">
                  <c:v>0</c:v>
                </c:pt>
                <c:pt idx="1">
                  <c:v>29.132800237802229</c:v>
                </c:pt>
                <c:pt idx="2">
                  <c:v>39.178562131002259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3-4670-BECA-F0207D8165E4}"/>
            </c:ext>
          </c:extLst>
        </c:ser>
        <c:ser>
          <c:idx val="3"/>
          <c:order val="2"/>
          <c:tx>
            <c:v>Full Turn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Sheet2!$AJ$11:$AJ$14</c:f>
              <c:numCache>
                <c:formatCode>General</c:formatCode>
                <c:ptCount val="4"/>
                <c:pt idx="0">
                  <c:v>0</c:v>
                </c:pt>
                <c:pt idx="1">
                  <c:v>34.817157455252939</c:v>
                </c:pt>
                <c:pt idx="2">
                  <c:v>158.0932793836804</c:v>
                </c:pt>
                <c:pt idx="3">
                  <c:v>160</c:v>
                </c:pt>
              </c:numCache>
            </c:numRef>
          </c:xVal>
          <c:yVal>
            <c:numRef>
              <c:f>Sheet2!$AK$11:$AK$14</c:f>
              <c:numCache>
                <c:formatCode>General</c:formatCode>
                <c:ptCount val="4"/>
                <c:pt idx="0">
                  <c:v>0</c:v>
                </c:pt>
                <c:pt idx="1">
                  <c:v>19.691763423729331</c:v>
                </c:pt>
                <c:pt idx="2">
                  <c:v>39.954529361404092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A3-4670-BECA-F0207D8165E4}"/>
            </c:ext>
          </c:extLst>
        </c:ser>
        <c:ser>
          <c:idx val="1"/>
          <c:order val="3"/>
          <c:tx>
            <c:v>Steering Pivot Pt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Sheet2!$AE$4:$AE$44</c:f>
              <c:numCache>
                <c:formatCode>General</c:formatCode>
                <c:ptCount val="41"/>
                <c:pt idx="0">
                  <c:v>80.000000000000014</c:v>
                </c:pt>
                <c:pt idx="1">
                  <c:v>80.53877120574667</c:v>
                </c:pt>
                <c:pt idx="2">
                  <c:v>81.072357787509134</c:v>
                </c:pt>
                <c:pt idx="3">
                  <c:v>81.600663809587303</c:v>
                </c:pt>
                <c:pt idx="4">
                  <c:v>82.123590688666297</c:v>
                </c:pt>
                <c:pt idx="5">
                  <c:v>82.641037550058371</c:v>
                </c:pt>
                <c:pt idx="6">
                  <c:v>83.152901539599995</c:v>
                </c:pt>
                <c:pt idx="7">
                  <c:v>83.659078098011435</c:v>
                </c:pt>
                <c:pt idx="8">
                  <c:v>84.159461203343241</c:v>
                </c:pt>
                <c:pt idx="9">
                  <c:v>84.653943586185704</c:v>
                </c:pt>
                <c:pt idx="10">
                  <c:v>85.142416921551799</c:v>
                </c:pt>
                <c:pt idx="11">
                  <c:v>85.624772000723681</c:v>
                </c:pt>
                <c:pt idx="12">
                  <c:v>86.100898885845282</c:v>
                </c:pt>
                <c:pt idx="13">
                  <c:v>86.570687049631488</c:v>
                </c:pt>
                <c:pt idx="14">
                  <c:v>87.034025502221382</c:v>
                </c:pt>
                <c:pt idx="15">
                  <c:v>87.490802906923207</c:v>
                </c:pt>
                <c:pt idx="16">
                  <c:v>87.94090768636643</c:v>
                </c:pt>
                <c:pt idx="17">
                  <c:v>88.384228120382431</c:v>
                </c:pt>
                <c:pt idx="18">
                  <c:v>88.820652436775859</c:v>
                </c:pt>
                <c:pt idx="19">
                  <c:v>89.250068896014255</c:v>
                </c:pt>
                <c:pt idx="20">
                  <c:v>89.672365870753197</c:v>
                </c:pt>
                <c:pt idx="21">
                  <c:v>90.087431921020439</c:v>
                </c:pt>
                <c:pt idx="22">
                  <c:v>90.495155865805572</c:v>
                </c:pt>
                <c:pt idx="23">
                  <c:v>90.895426851736829</c:v>
                </c:pt>
                <c:pt idx="24">
                  <c:v>91.28813441947301</c:v>
                </c:pt>
                <c:pt idx="25">
                  <c:v>91.673168568393507</c:v>
                </c:pt>
                <c:pt idx="26">
                  <c:v>92.050419820132134</c:v>
                </c:pt>
                <c:pt idx="27">
                  <c:v>92.419779281469346</c:v>
                </c:pt>
                <c:pt idx="28">
                  <c:v>92.781138707072159</c:v>
                </c:pt>
                <c:pt idx="29">
                  <c:v>93.134390562547992</c:v>
                </c:pt>
                <c:pt idx="30">
                  <c:v>93.479428088262608</c:v>
                </c:pt>
                <c:pt idx="31">
                  <c:v>93.816145364354355</c:v>
                </c:pt>
                <c:pt idx="32">
                  <c:v>94.14443737736562</c:v>
                </c:pt>
                <c:pt idx="33">
                  <c:v>94.464200088898096</c:v>
                </c:pt>
                <c:pt idx="34">
                  <c:v>94.775330506689045</c:v>
                </c:pt>
                <c:pt idx="35">
                  <c:v>95.077726758492091</c:v>
                </c:pt>
                <c:pt idx="36">
                  <c:v>95.371288169137443</c:v>
                </c:pt>
                <c:pt idx="37">
                  <c:v>95.655915341131248</c:v>
                </c:pt>
                <c:pt idx="38">
                  <c:v>95.931510239141971</c:v>
                </c:pt>
                <c:pt idx="39">
                  <c:v>96.197976278706051</c:v>
                </c:pt>
                <c:pt idx="40">
                  <c:v>96.455218419466661</c:v>
                </c:pt>
              </c:numCache>
            </c:numRef>
          </c:xVal>
          <c:yVal>
            <c:numRef>
              <c:f>Sheet2!$AF$4:$AF$44</c:f>
              <c:numCache>
                <c:formatCode>General</c:formatCode>
                <c:ptCount val="41"/>
                <c:pt idx="0">
                  <c:v>35.95176185196668</c:v>
                </c:pt>
                <c:pt idx="1">
                  <c:v>35.946494111343981</c:v>
                </c:pt>
                <c:pt idx="2">
                  <c:v>35.930883422352245</c:v>
                </c:pt>
                <c:pt idx="3">
                  <c:v>35.905208329300976</c:v>
                </c:pt>
                <c:pt idx="4">
                  <c:v>35.869735010157022</c:v>
                </c:pt>
                <c:pt idx="5">
                  <c:v>35.824718727414762</c:v>
                </c:pt>
                <c:pt idx="6">
                  <c:v>35.770405088325674</c:v>
                </c:pt>
                <c:pt idx="7">
                  <c:v>35.707031142828583</c:v>
                </c:pt>
                <c:pt idx="8">
                  <c:v>35.634826342567251</c:v>
                </c:pt>
                <c:pt idx="9">
                  <c:v>35.554013380395574</c:v>
                </c:pt>
                <c:pt idx="10">
                  <c:v>35.464808926541167</c:v>
                </c:pt>
                <c:pt idx="11">
                  <c:v>35.367424274967817</c:v>
                </c:pt>
                <c:pt idx="12">
                  <c:v>35.262065911322296</c:v>
                </c:pt>
                <c:pt idx="13">
                  <c:v>35.148936012077328</c:v>
                </c:pt>
                <c:pt idx="14">
                  <c:v>35.028232883013985</c:v>
                </c:pt>
                <c:pt idx="15">
                  <c:v>34.900151343966407</c:v>
                </c:pt>
                <c:pt idx="16">
                  <c:v>34.764883065732917</c:v>
                </c:pt>
                <c:pt idx="17">
                  <c:v>34.622616864203508</c:v>
                </c:pt>
                <c:pt idx="18">
                  <c:v>34.473538956034702</c:v>
                </c:pt>
                <c:pt idx="19">
                  <c:v>34.317833179596519</c:v>
                </c:pt>
                <c:pt idx="20">
                  <c:v>34.155681184402241</c:v>
                </c:pt>
                <c:pt idx="21">
                  <c:v>33.98726259179611</c:v>
                </c:pt>
                <c:pt idx="22">
                  <c:v>33.812755129302836</c:v>
                </c:pt>
                <c:pt idx="23">
                  <c:v>33.632334740727686</c:v>
                </c:pt>
                <c:pt idx="24">
                  <c:v>33.446175673826396</c:v>
                </c:pt>
                <c:pt idx="25">
                  <c:v>33.254450547135548</c:v>
                </c:pt>
                <c:pt idx="26">
                  <c:v>33.057330397359053</c:v>
                </c:pt>
                <c:pt idx="27">
                  <c:v>32.854984708541529</c:v>
                </c:pt>
                <c:pt idx="28">
                  <c:v>32.647581424120034</c:v>
                </c:pt>
                <c:pt idx="29">
                  <c:v>32.435286942829308</c:v>
                </c:pt>
                <c:pt idx="30">
                  <c:v>32.218266099339168</c:v>
                </c:pt>
                <c:pt idx="31">
                  <c:v>31.996682130424272</c:v>
                </c:pt>
                <c:pt idx="32">
                  <c:v>31.77069662740405</c:v>
                </c:pt>
                <c:pt idx="33">
                  <c:v>31.5404694755427</c:v>
                </c:pt>
                <c:pt idx="34">
                  <c:v>31.306158781064475</c:v>
                </c:pt>
                <c:pt idx="35">
                  <c:v>31.067920786417012</c:v>
                </c:pt>
                <c:pt idx="36">
                  <c:v>30.825909774403904</c:v>
                </c:pt>
                <c:pt idx="37">
                  <c:v>30.580277961806907</c:v>
                </c:pt>
                <c:pt idx="38">
                  <c:v>30.331175383126155</c:v>
                </c:pt>
                <c:pt idx="39">
                  <c:v>30.078749765084499</c:v>
                </c:pt>
                <c:pt idx="40">
                  <c:v>29.823146392566713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A3-4670-BECA-F0207D816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0415"/>
        <c:axId val="26440895"/>
      </c:scatterChart>
      <c:valAx>
        <c:axId val="26440415"/>
        <c:scaling>
          <c:orientation val="minMax"/>
          <c:max val="2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895"/>
        <c:crosses val="autoZero"/>
        <c:crossBetween val="midCat"/>
        <c:majorUnit val="50"/>
        <c:minorUnit val="10"/>
      </c:valAx>
      <c:valAx>
        <c:axId val="26440895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415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400" b="1"/>
              <a:t>Outer Angle vs Inner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Ackermann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Sheet1!$B$8:$B$117</c:f>
              <c:numCache>
                <c:formatCode>General</c:formatCode>
                <c:ptCount val="110"/>
                <c:pt idx="0">
                  <c:v>34.5085229876684</c:v>
                </c:pt>
                <c:pt idx="1">
                  <c:v>33.690067525979785</c:v>
                </c:pt>
                <c:pt idx="2">
                  <c:v>32.905242922987902</c:v>
                </c:pt>
                <c:pt idx="3">
                  <c:v>32.152295141282337</c:v>
                </c:pt>
                <c:pt idx="4">
                  <c:v>31.429565614838516</c:v>
                </c:pt>
                <c:pt idx="5">
                  <c:v>30.735487701920107</c:v>
                </c:pt>
                <c:pt idx="6">
                  <c:v>30.068582821862453</c:v>
                </c:pt>
                <c:pt idx="7">
                  <c:v>29.427456403189737</c:v>
                </c:pt>
                <c:pt idx="8">
                  <c:v>28.810793742973065</c:v>
                </c:pt>
                <c:pt idx="9">
                  <c:v>28.217355854729298</c:v>
                </c:pt>
                <c:pt idx="10">
                  <c:v>27.645975363738678</c:v>
                </c:pt>
                <c:pt idx="11">
                  <c:v>27.0955524937518</c:v>
                </c:pt>
                <c:pt idx="12">
                  <c:v>26.56505117707799</c:v>
                </c:pt>
                <c:pt idx="13">
                  <c:v>26.053495310490948</c:v>
                </c:pt>
                <c:pt idx="14">
                  <c:v>25.559965171823812</c:v>
                </c:pt>
                <c:pt idx="15">
                  <c:v>25.083594006190918</c:v>
                </c:pt>
                <c:pt idx="16">
                  <c:v>24.623564786163612</c:v>
                </c:pt>
                <c:pt idx="17">
                  <c:v>24.179107146689176</c:v>
                </c:pt>
                <c:pt idx="18">
                  <c:v>23.749494492866763</c:v>
                </c:pt>
                <c:pt idx="19">
                  <c:v>23.33404127670978</c:v>
                </c:pt>
                <c:pt idx="20">
                  <c:v>22.932100437589785</c:v>
                </c:pt>
                <c:pt idx="21">
                  <c:v>22.543061000057879</c:v>
                </c:pt>
                <c:pt idx="22">
                  <c:v>22.166345822082459</c:v>
                </c:pt>
                <c:pt idx="23">
                  <c:v>21.801409486351812</c:v>
                </c:pt>
                <c:pt idx="24">
                  <c:v>21.44773632710535</c:v>
                </c:pt>
                <c:pt idx="25">
                  <c:v>21.104838584929634</c:v>
                </c:pt>
                <c:pt idx="26">
                  <c:v>20.77225468204583</c:v>
                </c:pt>
                <c:pt idx="27">
                  <c:v>20.449547610792582</c:v>
                </c:pt>
                <c:pt idx="28">
                  <c:v>20.136303428248134</c:v>
                </c:pt>
                <c:pt idx="29">
                  <c:v>19.832129850218386</c:v>
                </c:pt>
                <c:pt idx="30">
                  <c:v>19.24952587268173</c:v>
                </c:pt>
                <c:pt idx="31">
                  <c:v>18.698982804181121</c:v>
                </c:pt>
                <c:pt idx="32">
                  <c:v>18.178018798418503</c:v>
                </c:pt>
                <c:pt idx="33">
                  <c:v>17.684392026557745</c:v>
                </c:pt>
                <c:pt idx="34">
                  <c:v>17.216073587790714</c:v>
                </c:pt>
                <c:pt idx="35">
                  <c:v>16.771223818630418</c:v>
                </c:pt>
                <c:pt idx="36">
                  <c:v>16.348171547351249</c:v>
                </c:pt>
                <c:pt idx="37">
                  <c:v>15.945395900922854</c:v>
                </c:pt>
                <c:pt idx="38">
                  <c:v>15.561510325328486</c:v>
                </c:pt>
                <c:pt idx="39">
                  <c:v>15.19524852681988</c:v>
                </c:pt>
                <c:pt idx="40">
                  <c:v>14.845452082083824</c:v>
                </c:pt>
                <c:pt idx="41">
                  <c:v>14.51105950016907</c:v>
                </c:pt>
                <c:pt idx="42">
                  <c:v>14.191096549023978</c:v>
                </c:pt>
                <c:pt idx="43">
                  <c:v>13.884667685258171</c:v>
                </c:pt>
                <c:pt idx="44">
                  <c:v>13.590948447841333</c:v>
                </c:pt>
                <c:pt idx="45">
                  <c:v>13.309178695400478</c:v>
                </c:pt>
                <c:pt idx="46">
                  <c:v>13.03865658302297</c:v>
                </c:pt>
                <c:pt idx="47">
                  <c:v>12.778733188406036</c:v>
                </c:pt>
                <c:pt idx="48">
                  <c:v>12.528807709151511</c:v>
                </c:pt>
                <c:pt idx="49">
                  <c:v>12.28832316327534</c:v>
                </c:pt>
                <c:pt idx="50">
                  <c:v>11.833645306160674</c:v>
                </c:pt>
                <c:pt idx="51">
                  <c:v>11.410983126765393</c:v>
                </c:pt>
                <c:pt idx="52">
                  <c:v>11.017111618789212</c:v>
                </c:pt>
                <c:pt idx="53">
                  <c:v>10.649219659244944</c:v>
                </c:pt>
                <c:pt idx="54">
                  <c:v>10.304846468766033</c:v>
                </c:pt>
                <c:pt idx="55">
                  <c:v>9.9818292877331629</c:v>
                </c:pt>
                <c:pt idx="56">
                  <c:v>9.6782600531339451</c:v>
                </c:pt>
                <c:pt idx="57">
                  <c:v>9.3924493408189242</c:v>
                </c:pt>
                <c:pt idx="58">
                  <c:v>9.1228962053784723</c:v>
                </c:pt>
                <c:pt idx="59">
                  <c:v>8.8682628332075932</c:v>
                </c:pt>
                <c:pt idx="60">
                  <c:v>8.6273531440652391</c:v>
                </c:pt>
                <c:pt idx="61">
                  <c:v>8.3990946478524613</c:v>
                </c:pt>
                <c:pt idx="62">
                  <c:v>8.1825229978214029</c:v>
                </c:pt>
                <c:pt idx="63">
                  <c:v>7.9767687875266278</c:v>
                </c:pt>
                <c:pt idx="64">
                  <c:v>7.781046222983524</c:v>
                </c:pt>
                <c:pt idx="65">
                  <c:v>7.594643368591445</c:v>
                </c:pt>
                <c:pt idx="66">
                  <c:v>7.4169137191383898</c:v>
                </c:pt>
                <c:pt idx="67">
                  <c:v>7.2472688934876883</c:v>
                </c:pt>
                <c:pt idx="68">
                  <c:v>7.085172280558897</c:v>
                </c:pt>
                <c:pt idx="69">
                  <c:v>6.9301334966631947</c:v>
                </c:pt>
                <c:pt idx="70">
                  <c:v>6.6394705188936642</c:v>
                </c:pt>
                <c:pt idx="71">
                  <c:v>6.3721113969325121</c:v>
                </c:pt>
                <c:pt idx="72">
                  <c:v>6.1253719401997238</c:v>
                </c:pt>
                <c:pt idx="73">
                  <c:v>5.8969635102108242</c:v>
                </c:pt>
                <c:pt idx="74">
                  <c:v>5.684922987105633</c:v>
                </c:pt>
                <c:pt idx="75">
                  <c:v>5.4875570600912553</c:v>
                </c:pt>
                <c:pt idx="76">
                  <c:v>5.3033975468218699</c:v>
                </c:pt>
                <c:pt idx="77">
                  <c:v>5.131165282896319</c:v>
                </c:pt>
                <c:pt idx="78">
                  <c:v>4.9697407281103043</c:v>
                </c:pt>
                <c:pt idx="79">
                  <c:v>4.8181398792810439</c:v>
                </c:pt>
                <c:pt idx="80">
                  <c:v>4.675494407173292</c:v>
                </c:pt>
                <c:pt idx="81">
                  <c:v>4.5410351797050206</c:v>
                </c:pt>
                <c:pt idx="82">
                  <c:v>4.4140785178981741</c:v>
                </c:pt>
                <c:pt idx="83">
                  <c:v>4.294014671036531</c:v>
                </c:pt>
                <c:pt idx="84">
                  <c:v>4.1802981046953471</c:v>
                </c:pt>
                <c:pt idx="85">
                  <c:v>4.0724392780193002</c:v>
                </c:pt>
                <c:pt idx="86">
                  <c:v>3.9699976508981791</c:v>
                </c:pt>
                <c:pt idx="87">
                  <c:v>3.8725757119732624</c:v>
                </c:pt>
                <c:pt idx="88">
                  <c:v>3.7798138579992799</c:v>
                </c:pt>
                <c:pt idx="89">
                  <c:v>3.6913859864512757</c:v>
                </c:pt>
                <c:pt idx="90">
                  <c:v>3.5263729475548127</c:v>
                </c:pt>
                <c:pt idx="91">
                  <c:v>3.3754651863028751</c:v>
                </c:pt>
                <c:pt idx="92">
                  <c:v>3.236930109017643</c:v>
                </c:pt>
                <c:pt idx="93">
                  <c:v>3.1093074509352618</c:v>
                </c:pt>
                <c:pt idx="94">
                  <c:v>2.9913578407343731</c:v>
                </c:pt>
                <c:pt idx="95">
                  <c:v>2.8820225887940696</c:v>
                </c:pt>
                <c:pt idx="96">
                  <c:v>2.7803919443497076</c:v>
                </c:pt>
                <c:pt idx="97">
                  <c:v>2.6856798127331287</c:v>
                </c:pt>
                <c:pt idx="98">
                  <c:v>2.597203450222775</c:v>
                </c:pt>
                <c:pt idx="99">
                  <c:v>2.5143670302411882</c:v>
                </c:pt>
                <c:pt idx="100">
                  <c:v>2.4366482468101309</c:v>
                </c:pt>
                <c:pt idx="101">
                  <c:v>2.3635873203040489</c:v>
                </c:pt>
                <c:pt idx="102">
                  <c:v>2.2947779177685232</c:v>
                </c:pt>
                <c:pt idx="103">
                  <c:v>2.229859609993496</c:v>
                </c:pt>
                <c:pt idx="104">
                  <c:v>2.1685115703603968</c:v>
                </c:pt>
                <c:pt idx="105">
                  <c:v>2.110447283436748</c:v>
                </c:pt>
                <c:pt idx="106">
                  <c:v>2.0554100795303887</c:v>
                </c:pt>
                <c:pt idx="107">
                  <c:v>2.0031693486618951</c:v>
                </c:pt>
                <c:pt idx="108">
                  <c:v>1.9535173163813975</c:v>
                </c:pt>
                <c:pt idx="109">
                  <c:v>1.9062662865393634</c:v>
                </c:pt>
              </c:numCache>
            </c:numRef>
          </c:xVal>
          <c:yVal>
            <c:numRef>
              <c:f>Sheet1!$C$8:$C$117</c:f>
              <c:numCache>
                <c:formatCode>General</c:formatCode>
                <c:ptCount val="110"/>
                <c:pt idx="0">
                  <c:v>24.623564786163612</c:v>
                </c:pt>
                <c:pt idx="1">
                  <c:v>24.179107146689176</c:v>
                </c:pt>
                <c:pt idx="2">
                  <c:v>23.749494492866763</c:v>
                </c:pt>
                <c:pt idx="3">
                  <c:v>23.33404127670978</c:v>
                </c:pt>
                <c:pt idx="4">
                  <c:v>22.932100437589785</c:v>
                </c:pt>
                <c:pt idx="5">
                  <c:v>22.543061000057879</c:v>
                </c:pt>
                <c:pt idx="6">
                  <c:v>22.166345822082459</c:v>
                </c:pt>
                <c:pt idx="7">
                  <c:v>21.801409486351812</c:v>
                </c:pt>
                <c:pt idx="8">
                  <c:v>21.44773632710535</c:v>
                </c:pt>
                <c:pt idx="9">
                  <c:v>21.104838584929634</c:v>
                </c:pt>
                <c:pt idx="10">
                  <c:v>20.77225468204583</c:v>
                </c:pt>
                <c:pt idx="11">
                  <c:v>20.449547610792582</c:v>
                </c:pt>
                <c:pt idx="12">
                  <c:v>20.136303428248134</c:v>
                </c:pt>
                <c:pt idx="13">
                  <c:v>19.832129850218386</c:v>
                </c:pt>
                <c:pt idx="14">
                  <c:v>19.53665493812839</c:v>
                </c:pt>
                <c:pt idx="15">
                  <c:v>19.24952587268173</c:v>
                </c:pt>
                <c:pt idx="16">
                  <c:v>18.970407808486545</c:v>
                </c:pt>
                <c:pt idx="17">
                  <c:v>18.698982804181121</c:v>
                </c:pt>
                <c:pt idx="18">
                  <c:v>18.43494882292201</c:v>
                </c:pt>
                <c:pt idx="19">
                  <c:v>18.178018798418503</c:v>
                </c:pt>
                <c:pt idx="20">
                  <c:v>17.927919762007239</c:v>
                </c:pt>
                <c:pt idx="21">
                  <c:v>17.684392026557745</c:v>
                </c:pt>
                <c:pt idx="22">
                  <c:v>17.447188423282203</c:v>
                </c:pt>
                <c:pt idx="23">
                  <c:v>17.216073587790714</c:v>
                </c:pt>
                <c:pt idx="24">
                  <c:v>16.990823291986167</c:v>
                </c:pt>
                <c:pt idx="25">
                  <c:v>16.771223818630418</c:v>
                </c:pt>
                <c:pt idx="26">
                  <c:v>16.557071375636653</c:v>
                </c:pt>
                <c:pt idx="27">
                  <c:v>16.348171547351249</c:v>
                </c:pt>
                <c:pt idx="28">
                  <c:v>16.144338780283483</c:v>
                </c:pt>
                <c:pt idx="29">
                  <c:v>15.945395900922854</c:v>
                </c:pt>
                <c:pt idx="30">
                  <c:v>15.561510325328486</c:v>
                </c:pt>
                <c:pt idx="31">
                  <c:v>15.19524852681988</c:v>
                </c:pt>
                <c:pt idx="32">
                  <c:v>14.845452082083824</c:v>
                </c:pt>
                <c:pt idx="33">
                  <c:v>14.51105950016907</c:v>
                </c:pt>
                <c:pt idx="34">
                  <c:v>14.191096549023978</c:v>
                </c:pt>
                <c:pt idx="35">
                  <c:v>13.884667685258171</c:v>
                </c:pt>
                <c:pt idx="36">
                  <c:v>13.590948447841333</c:v>
                </c:pt>
                <c:pt idx="37">
                  <c:v>13.309178695400478</c:v>
                </c:pt>
                <c:pt idx="38">
                  <c:v>13.03865658302297</c:v>
                </c:pt>
                <c:pt idx="39">
                  <c:v>12.778733188406036</c:v>
                </c:pt>
                <c:pt idx="40">
                  <c:v>12.528807709151511</c:v>
                </c:pt>
                <c:pt idx="41">
                  <c:v>12.28832316327534</c:v>
                </c:pt>
                <c:pt idx="42">
                  <c:v>12.056762533832631</c:v>
                </c:pt>
                <c:pt idx="43">
                  <c:v>11.833645306160674</c:v>
                </c:pt>
                <c:pt idx="44">
                  <c:v>11.618524352794635</c:v>
                </c:pt>
                <c:pt idx="45">
                  <c:v>11.410983126765393</c:v>
                </c:pt>
                <c:pt idx="46">
                  <c:v>11.210633128876674</c:v>
                </c:pt>
                <c:pt idx="47">
                  <c:v>11.017111618789212</c:v>
                </c:pt>
                <c:pt idx="48">
                  <c:v>10.830079543407003</c:v>
                </c:pt>
                <c:pt idx="49">
                  <c:v>10.649219659244944</c:v>
                </c:pt>
                <c:pt idx="50">
                  <c:v>10.304846468766033</c:v>
                </c:pt>
                <c:pt idx="51">
                  <c:v>9.9818292877331629</c:v>
                </c:pt>
                <c:pt idx="52">
                  <c:v>9.6782600531339451</c:v>
                </c:pt>
                <c:pt idx="53">
                  <c:v>9.3924493408189242</c:v>
                </c:pt>
                <c:pt idx="54">
                  <c:v>9.1228962053784723</c:v>
                </c:pt>
                <c:pt idx="55">
                  <c:v>8.8682628332075932</c:v>
                </c:pt>
                <c:pt idx="56">
                  <c:v>8.6273531440652391</c:v>
                </c:pt>
                <c:pt idx="57">
                  <c:v>8.3990946478524613</c:v>
                </c:pt>
                <c:pt idx="58">
                  <c:v>8.1825229978214029</c:v>
                </c:pt>
                <c:pt idx="59">
                  <c:v>7.9767687875266278</c:v>
                </c:pt>
                <c:pt idx="60">
                  <c:v>7.781046222983524</c:v>
                </c:pt>
                <c:pt idx="61">
                  <c:v>7.594643368591445</c:v>
                </c:pt>
                <c:pt idx="62">
                  <c:v>7.4169137191383898</c:v>
                </c:pt>
                <c:pt idx="63">
                  <c:v>7.2472688934876883</c:v>
                </c:pt>
                <c:pt idx="64">
                  <c:v>7.085172280558897</c:v>
                </c:pt>
                <c:pt idx="65">
                  <c:v>6.9301334966631947</c:v>
                </c:pt>
                <c:pt idx="66">
                  <c:v>6.781703536468549</c:v>
                </c:pt>
                <c:pt idx="67">
                  <c:v>6.6394705188936642</c:v>
                </c:pt>
                <c:pt idx="68">
                  <c:v>6.5030559448816971</c:v>
                </c:pt>
                <c:pt idx="69">
                  <c:v>6.3721113969325121</c:v>
                </c:pt>
                <c:pt idx="70">
                  <c:v>6.1253719401997238</c:v>
                </c:pt>
                <c:pt idx="71">
                  <c:v>5.8969635102108242</c:v>
                </c:pt>
                <c:pt idx="72">
                  <c:v>5.684922987105633</c:v>
                </c:pt>
                <c:pt idx="73">
                  <c:v>5.4875570600912553</c:v>
                </c:pt>
                <c:pt idx="74">
                  <c:v>5.3033975468218699</c:v>
                </c:pt>
                <c:pt idx="75">
                  <c:v>5.131165282896319</c:v>
                </c:pt>
                <c:pt idx="76">
                  <c:v>4.9697407281103043</c:v>
                </c:pt>
                <c:pt idx="77">
                  <c:v>4.8181398792810439</c:v>
                </c:pt>
                <c:pt idx="78">
                  <c:v>4.675494407173292</c:v>
                </c:pt>
                <c:pt idx="79">
                  <c:v>4.5410351797050206</c:v>
                </c:pt>
                <c:pt idx="80">
                  <c:v>4.4140785178981741</c:v>
                </c:pt>
                <c:pt idx="81">
                  <c:v>4.294014671036531</c:v>
                </c:pt>
                <c:pt idx="82">
                  <c:v>4.1802981046953471</c:v>
                </c:pt>
                <c:pt idx="83">
                  <c:v>4.0724392780193002</c:v>
                </c:pt>
                <c:pt idx="84">
                  <c:v>3.9699976508981791</c:v>
                </c:pt>
                <c:pt idx="85">
                  <c:v>3.8725757119732624</c:v>
                </c:pt>
                <c:pt idx="86">
                  <c:v>3.7798138579992799</c:v>
                </c:pt>
                <c:pt idx="87">
                  <c:v>3.6913859864512757</c:v>
                </c:pt>
                <c:pt idx="88">
                  <c:v>3.6069956882565601</c:v>
                </c:pt>
                <c:pt idx="89">
                  <c:v>3.5263729475548127</c:v>
                </c:pt>
                <c:pt idx="90">
                  <c:v>3.3754651863028751</c:v>
                </c:pt>
                <c:pt idx="91">
                  <c:v>3.236930109017643</c:v>
                </c:pt>
                <c:pt idx="92">
                  <c:v>3.1093074509352618</c:v>
                </c:pt>
                <c:pt idx="93">
                  <c:v>2.9913578407343731</c:v>
                </c:pt>
                <c:pt idx="94">
                  <c:v>2.8820225887940696</c:v>
                </c:pt>
                <c:pt idx="95">
                  <c:v>2.7803919443497076</c:v>
                </c:pt>
                <c:pt idx="96">
                  <c:v>2.6856798127331287</c:v>
                </c:pt>
                <c:pt idx="97">
                  <c:v>2.597203450222775</c:v>
                </c:pt>
                <c:pt idx="98">
                  <c:v>2.5143670302411882</c:v>
                </c:pt>
                <c:pt idx="99">
                  <c:v>2.4366482468101309</c:v>
                </c:pt>
                <c:pt idx="100">
                  <c:v>2.3635873203040489</c:v>
                </c:pt>
                <c:pt idx="101">
                  <c:v>2.2947779177685232</c:v>
                </c:pt>
                <c:pt idx="102">
                  <c:v>2.229859609993496</c:v>
                </c:pt>
                <c:pt idx="103">
                  <c:v>2.1685115703603968</c:v>
                </c:pt>
                <c:pt idx="104">
                  <c:v>2.110447283436748</c:v>
                </c:pt>
                <c:pt idx="105">
                  <c:v>2.0554100795303887</c:v>
                </c:pt>
                <c:pt idx="106">
                  <c:v>2.0031693486618951</c:v>
                </c:pt>
                <c:pt idx="107">
                  <c:v>1.9535173163813975</c:v>
                </c:pt>
                <c:pt idx="108">
                  <c:v>1.9062662865393634</c:v>
                </c:pt>
                <c:pt idx="109">
                  <c:v>1.8612462739986231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2-4B10-A643-65B501E2BCE7}"/>
            </c:ext>
          </c:extLst>
        </c:ser>
        <c:ser>
          <c:idx val="1"/>
          <c:order val="1"/>
          <c:tx>
            <c:v>Trapezoid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Sheet2!$Y$4:$Y$44</c:f>
              <c:numCache>
                <c:formatCode>General</c:formatCode>
                <c:ptCount val="41"/>
                <c:pt idx="0">
                  <c:v>0</c:v>
                </c:pt>
                <c:pt idx="1">
                  <c:v>0.86271307469171332</c:v>
                </c:pt>
                <c:pt idx="2">
                  <c:v>1.7254261493834266</c:v>
                </c:pt>
                <c:pt idx="3">
                  <c:v>2.5881392240751402</c:v>
                </c:pt>
                <c:pt idx="4">
                  <c:v>3.4508522987668533</c:v>
                </c:pt>
                <c:pt idx="5">
                  <c:v>4.3135653734585668</c:v>
                </c:pt>
                <c:pt idx="6">
                  <c:v>5.1762784481502804</c:v>
                </c:pt>
                <c:pt idx="7">
                  <c:v>6.0389915228419939</c:v>
                </c:pt>
                <c:pt idx="8">
                  <c:v>6.9017045975337004</c:v>
                </c:pt>
                <c:pt idx="9">
                  <c:v>7.7644176722254077</c:v>
                </c:pt>
                <c:pt idx="10">
                  <c:v>8.6271307469171141</c:v>
                </c:pt>
                <c:pt idx="11">
                  <c:v>9.4898438216088223</c:v>
                </c:pt>
                <c:pt idx="12">
                  <c:v>10.352556896300529</c:v>
                </c:pt>
                <c:pt idx="13">
                  <c:v>11.215269970992235</c:v>
                </c:pt>
                <c:pt idx="14">
                  <c:v>12.077983045683942</c:v>
                </c:pt>
                <c:pt idx="15">
                  <c:v>12.94069612037565</c:v>
                </c:pt>
                <c:pt idx="16">
                  <c:v>13.803409195067356</c:v>
                </c:pt>
                <c:pt idx="17">
                  <c:v>14.666122269759063</c:v>
                </c:pt>
                <c:pt idx="18">
                  <c:v>15.528835344450771</c:v>
                </c:pt>
                <c:pt idx="19">
                  <c:v>16.391548419142477</c:v>
                </c:pt>
                <c:pt idx="20">
                  <c:v>17.254261493834186</c:v>
                </c:pt>
                <c:pt idx="21">
                  <c:v>18.11697456852589</c:v>
                </c:pt>
                <c:pt idx="22">
                  <c:v>18.979687643217598</c:v>
                </c:pt>
                <c:pt idx="23">
                  <c:v>19.842400717909307</c:v>
                </c:pt>
                <c:pt idx="24">
                  <c:v>20.705113792601011</c:v>
                </c:pt>
                <c:pt idx="25">
                  <c:v>21.56782686729272</c:v>
                </c:pt>
                <c:pt idx="26">
                  <c:v>22.430539941984428</c:v>
                </c:pt>
                <c:pt idx="27">
                  <c:v>23.293253016676132</c:v>
                </c:pt>
                <c:pt idx="28">
                  <c:v>24.155966091367841</c:v>
                </c:pt>
                <c:pt idx="29">
                  <c:v>25.018679166059549</c:v>
                </c:pt>
                <c:pt idx="30">
                  <c:v>25.881392240751254</c:v>
                </c:pt>
                <c:pt idx="31">
                  <c:v>26.744105315442962</c:v>
                </c:pt>
                <c:pt idx="32">
                  <c:v>27.60681839013467</c:v>
                </c:pt>
                <c:pt idx="33">
                  <c:v>28.469531464826375</c:v>
                </c:pt>
                <c:pt idx="34">
                  <c:v>29.332244539518083</c:v>
                </c:pt>
                <c:pt idx="35">
                  <c:v>30.194957614209791</c:v>
                </c:pt>
                <c:pt idx="36">
                  <c:v>31.057670688901496</c:v>
                </c:pt>
                <c:pt idx="37">
                  <c:v>31.920383763593204</c:v>
                </c:pt>
                <c:pt idx="38">
                  <c:v>32.783096838284912</c:v>
                </c:pt>
                <c:pt idx="39">
                  <c:v>33.645809912976617</c:v>
                </c:pt>
                <c:pt idx="40">
                  <c:v>34.508522987668321</c:v>
                </c:pt>
              </c:numCache>
            </c:numRef>
          </c:xVal>
          <c:yVal>
            <c:numRef>
              <c:f>Sheet2!$Z$4:$Z$44</c:f>
              <c:numCache>
                <c:formatCode>General</c:formatCode>
                <c:ptCount val="41"/>
                <c:pt idx="0">
                  <c:v>0</c:v>
                </c:pt>
                <c:pt idx="1">
                  <c:v>0.85467304303512093</c:v>
                </c:pt>
                <c:pt idx="2">
                  <c:v>1.693545873000462</c:v>
                </c:pt>
                <c:pt idx="3">
                  <c:v>2.517002990253435</c:v>
                </c:pt>
                <c:pt idx="4">
                  <c:v>3.3253855834305743</c:v>
                </c:pt>
                <c:pt idx="5">
                  <c:v>4.1189956685263542</c:v>
                </c:pt>
                <c:pt idx="6">
                  <c:v>4.8980996953989715</c:v>
                </c:pt>
                <c:pt idx="7">
                  <c:v>5.66293170339247</c:v>
                </c:pt>
                <c:pt idx="8">
                  <c:v>6.413696093583984</c:v>
                </c:pt>
                <c:pt idx="9">
                  <c:v>7.1505700737721796</c:v>
                </c:pt>
                <c:pt idx="10">
                  <c:v>7.8737058231086463</c:v>
                </c:pt>
                <c:pt idx="11">
                  <c:v>8.5832324157835895</c:v>
                </c:pt>
                <c:pt idx="12">
                  <c:v>9.279257537047787</c:v>
                </c:pt>
                <c:pt idx="13">
                  <c:v>9.9618690198253024</c:v>
                </c:pt>
                <c:pt idx="14">
                  <c:v>10.631136226009696</c:v>
                </c:pt>
                <c:pt idx="15">
                  <c:v>11.287111293091611</c:v>
                </c:pt>
                <c:pt idx="16">
                  <c:v>11.92983026389328</c:v>
                </c:pt>
                <c:pt idx="17">
                  <c:v>12.559314114782623</c:v>
                </c:pt>
                <c:pt idx="18">
                  <c:v>13.175569695721444</c:v>
                </c:pt>
                <c:pt idx="19">
                  <c:v>13.778590593799462</c:v>
                </c:pt>
                <c:pt idx="20">
                  <c:v>14.368357930468678</c:v>
                </c:pt>
                <c:pt idx="21">
                  <c:v>14.944841101464752</c:v>
                </c:pt>
                <c:pt idx="22">
                  <c:v>15.507998467360958</c:v>
                </c:pt>
                <c:pt idx="23">
                  <c:v>16.057778001804952</c:v>
                </c:pt>
                <c:pt idx="24">
                  <c:v>16.594117903718995</c:v>
                </c:pt>
                <c:pt idx="25">
                  <c:v>17.11694717908059</c:v>
                </c:pt>
                <c:pt idx="26">
                  <c:v>17.626186197322113</c:v>
                </c:pt>
                <c:pt idx="27">
                  <c:v>18.121747226882647</c:v>
                </c:pt>
                <c:pt idx="28">
                  <c:v>18.603534954003859</c:v>
                </c:pt>
                <c:pt idx="29">
                  <c:v>19.071446988463563</c:v>
                </c:pt>
                <c:pt idx="30">
                  <c:v>19.525374359593943</c:v>
                </c:pt>
                <c:pt idx="31">
                  <c:v>19.965202005608898</c:v>
                </c:pt>
                <c:pt idx="32">
                  <c:v>20.390809258977832</c:v>
                </c:pt>
                <c:pt idx="33">
                  <c:v>20.802070330314439</c:v>
                </c:pt>
                <c:pt idx="34">
                  <c:v>21.198854792998759</c:v>
                </c:pt>
                <c:pt idx="35">
                  <c:v>21.581028070511866</c:v>
                </c:pt>
                <c:pt idx="36">
                  <c:v>21.948451928238871</c:v>
                </c:pt>
                <c:pt idx="37">
                  <c:v>22.300984971270228</c:v>
                </c:pt>
                <c:pt idx="38">
                  <c:v>22.638483149516716</c:v>
                </c:pt>
                <c:pt idx="39">
                  <c:v>22.960800271238941</c:v>
                </c:pt>
                <c:pt idx="40">
                  <c:v>23.267788525872934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82-4B10-A643-65B501E2B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00079"/>
        <c:axId val="544600559"/>
      </c:scatterChart>
      <c:valAx>
        <c:axId val="544600079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l-GR" sz="1600"/>
                  <a:t>δ</a:t>
                </a:r>
                <a:r>
                  <a:rPr lang="en-US" sz="1600" baseline="-25000"/>
                  <a:t>i</a:t>
                </a:r>
                <a:r>
                  <a:rPr lang="en-US" sz="1600"/>
                  <a:t>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44600559"/>
        <c:crosses val="autoZero"/>
        <c:crossBetween val="midCat"/>
        <c:majorUnit val="5"/>
        <c:minorUnit val="1"/>
      </c:valAx>
      <c:valAx>
        <c:axId val="544600559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l-GR" sz="1600"/>
                  <a:t>δ</a:t>
                </a:r>
                <a:r>
                  <a:rPr lang="en-US" sz="1600" baseline="-25000"/>
                  <a:t>o</a:t>
                </a:r>
                <a:r>
                  <a:rPr lang="en-US" sz="1600"/>
                  <a:t>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44600079"/>
        <c:crosses val="autoZero"/>
        <c:crossBetween val="midCat"/>
        <c:majorUnit val="5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285608555430981"/>
          <c:y val="0.15354658014108832"/>
          <c:w val="0.27310516508120919"/>
          <c:h val="9.295664708003077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615398</xdr:colOff>
      <xdr:row>0</xdr:row>
      <xdr:rowOff>66262</xdr:rowOff>
    </xdr:from>
    <xdr:to>
      <xdr:col>12</xdr:col>
      <xdr:colOff>265045</xdr:colOff>
      <xdr:row>30</xdr:row>
      <xdr:rowOff>24848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262949-98DC-39A4-F39F-7A74D115A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0.15377</cdr:x>
      <cdr:y>0.12925</cdr:y>
    </cdr:from>
    <cdr:to>
      <cdr:x>0.46946</cdr:x>
      <cdr:y>0.39415</cdr:y>
    </cdr:to>
    <cdr:sp macro="" textlink="Sheet1!$N$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35154C-9AD0-1C5E-F11F-B5572ACC7BE2}"/>
            </a:ext>
          </a:extLst>
        </cdr:cNvPr>
        <cdr:cNvSpPr txBox="1"/>
      </cdr:nvSpPr>
      <cdr:spPr>
        <a:xfrm xmlns:a="http://schemas.openxmlformats.org/drawingml/2006/main">
          <a:off x="840229" y="768628"/>
          <a:ext cx="1724895" cy="157534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17C0A94-BA74-4E22-AE9E-C872E2E76E5B}" type="TxLink">
            <a:rPr lang="en-US" sz="14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W = 160.0 mm
L = 220.0 mm
W/L = 0.7273
Rmin = 400.0 mm
W/d ≈ 4.000
d = 40
β = 26.0°</a:t>
          </a:fld>
          <a:endParaRPr lang="en-IE" sz="14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383239</xdr:colOff>
      <xdr:row>20</xdr:row>
      <xdr:rowOff>186017</xdr:rowOff>
    </xdr:from>
    <xdr:to>
      <xdr:col>17</xdr:col>
      <xdr:colOff>452156</xdr:colOff>
      <xdr:row>36</xdr:row>
      <xdr:rowOff>129186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D4DC61-62D7-48C2-A9BB-BF757D35B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407975</xdr:colOff>
      <xdr:row>5</xdr:row>
      <xdr:rowOff>152400</xdr:rowOff>
    </xdr:from>
    <xdr:to>
      <xdr:col>21</xdr:col>
      <xdr:colOff>86845</xdr:colOff>
      <xdr:row>19</xdr:row>
      <xdr:rowOff>85164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E9CEC4-6561-453F-A5EF-956F48E35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6</xdr:row>
      <xdr:rowOff>40341</xdr:rowOff>
    </xdr:from>
    <xdr:to>
      <xdr:col>9</xdr:col>
      <xdr:colOff>158613</xdr:colOff>
      <xdr:row>37</xdr:row>
      <xdr:rowOff>81753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96134F-551D-4E1C-A257-01503BA58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0.15377</cdr:x>
      <cdr:y>0.12925</cdr:y>
    </cdr:from>
    <cdr:to>
      <cdr:x>0.46946</cdr:x>
      <cdr:y>0.43528</cdr:y>
    </cdr:to>
    <cdr:sp macro="" textlink="Sheet1!$N$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35154C-9AD0-1C5E-F11F-B5572ACC7BE2}"/>
            </a:ext>
          </a:extLst>
        </cdr:cNvPr>
        <cdr:cNvSpPr txBox="1"/>
      </cdr:nvSpPr>
      <cdr:spPr>
        <a:xfrm xmlns:a="http://schemas.openxmlformats.org/drawingml/2006/main">
          <a:off x="840205" y="768638"/>
          <a:ext cx="1724942" cy="181992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17C0A94-BA74-4E22-AE9E-C872E2E76E5B}" type="TxLink">
            <a:rPr lang="en-US" sz="14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W = 160.0 mm
L = 220.0 mm
W/L = 0.7273
Rmin = 400.0 mm
W/d ≈ 4.000
d = 40
β = 26.0°</a:t>
          </a:fld>
          <a:endParaRPr lang="en-IE" sz="14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E90C-7BB2-4287-A34C-2BE6BCA0B557}">
  <dimension ref="A2:N117"/>
  <sheetViews>
    <sheetView zoomScale="115" zoomScaleNormal="115" workbookViewId="0">
      <selection activeCell="C5" sqref="C5"/>
    </sheetView>
  </sheetViews>
  <sheetFormatPr defaultColWidth="9.6640625" defaultRowHeight="14.4" x14ac:dyDescent="0.3"/>
  <cols>
    <col min="1" max="2" width="11.33203125" bestFit="1" customWidth="1"/>
    <col min="3" max="3" width="11.6640625" bestFit="1" customWidth="1"/>
    <col min="14" max="14" width="9.6640625" customWidth="1"/>
  </cols>
  <sheetData>
    <row r="2" spans="1:14" x14ac:dyDescent="0.3">
      <c r="A2" t="s">
        <v>5</v>
      </c>
      <c r="B2" s="4" t="s">
        <v>9</v>
      </c>
      <c r="C2">
        <f>'Input Parameters'!B1</f>
        <v>160</v>
      </c>
      <c r="D2" t="s">
        <v>6</v>
      </c>
      <c r="F2" s="5">
        <f>W/L</f>
        <v>0.72727272727272729</v>
      </c>
      <c r="H2" t="s">
        <v>41</v>
      </c>
    </row>
    <row r="3" spans="1:14" x14ac:dyDescent="0.3">
      <c r="A3" t="s">
        <v>7</v>
      </c>
      <c r="B3" s="4" t="s">
        <v>10</v>
      </c>
      <c r="C3">
        <f>'Input Parameters'!B2</f>
        <v>220</v>
      </c>
      <c r="D3" t="s">
        <v>6</v>
      </c>
      <c r="H3" t="s">
        <v>42</v>
      </c>
      <c r="I3">
        <f>DEGREES(ATAN((W/2)/L))</f>
        <v>19.98310652189998</v>
      </c>
    </row>
    <row r="4" spans="1:14" ht="15.6" x14ac:dyDescent="0.35">
      <c r="A4" t="s">
        <v>8</v>
      </c>
      <c r="B4" s="4" t="s">
        <v>11</v>
      </c>
      <c r="C4">
        <f>'Input Parameters'!B3</f>
        <v>400</v>
      </c>
      <c r="D4" t="s">
        <v>6</v>
      </c>
      <c r="N4" t="str">
        <f>"W = "&amp;TEXT(W,"0.0")&amp;" mm"&amp;N5&amp;"L = "&amp;TEXT(L,"0.0")&amp;" mm"&amp;N5&amp;"W/L = "&amp;TEXT(W/L,"0.0000")&amp;N5&amp;"Rmin = "&amp;TEXT(Rmin,"0.0")&amp;" mm"&amp;N5&amp;"W/d ≈ "&amp;TEXT(Sheet2!B3,"0.000")&amp;N5&amp;"d = "&amp;TEXT(Sheet2!B4,"0")&amp;N5&amp;"β = "&amp;TEXT(Sheet2!B5,"0.0")&amp;"°"</f>
        <v>W = 160.0 mm
L = 220.0 mm
W/L = 0.7273
Rmin = 400.0 mm
W/d ≈ 4.000
d = 40
β = 26.0°</v>
      </c>
    </row>
    <row r="5" spans="1:14" ht="28.8" x14ac:dyDescent="0.3">
      <c r="E5" t="s">
        <v>38</v>
      </c>
      <c r="N5" s="8" t="s">
        <v>44</v>
      </c>
    </row>
    <row r="6" spans="1:14" x14ac:dyDescent="0.3">
      <c r="A6" t="s">
        <v>2</v>
      </c>
      <c r="B6" t="s">
        <v>0</v>
      </c>
      <c r="C6" t="s">
        <v>4</v>
      </c>
      <c r="E6" t="str">
        <f>C6&amp;" vs "&amp;B6&amp;" for W/L = "&amp;TEXT(F2,"0.000")</f>
        <v>Outer Angle vs Inner Angle for W/L = 0.727</v>
      </c>
    </row>
    <row r="7" spans="1:14" ht="15.6" x14ac:dyDescent="0.3">
      <c r="A7" s="2" t="s">
        <v>3</v>
      </c>
      <c r="B7" s="3" t="s">
        <v>16</v>
      </c>
      <c r="C7" s="3" t="s">
        <v>1</v>
      </c>
    </row>
    <row r="8" spans="1:14" x14ac:dyDescent="0.3">
      <c r="A8">
        <f>Rmin</f>
        <v>400</v>
      </c>
      <c r="B8">
        <f>DEGREES(ATAN(L/($A8-W/2)))</f>
        <v>34.5085229876684</v>
      </c>
      <c r="C8">
        <f t="shared" ref="C8:C39" si="0">DEGREES(ATAN(L/($A8+W/2)))</f>
        <v>24.623564786163612</v>
      </c>
      <c r="D8" s="1"/>
      <c r="E8" s="1"/>
    </row>
    <row r="9" spans="1:14" x14ac:dyDescent="0.3">
      <c r="A9">
        <f>A8+10</f>
        <v>410</v>
      </c>
      <c r="B9">
        <f t="shared" ref="B9:B39" si="1">DEGREES(ATAN(L/($A9-W/2)))</f>
        <v>33.690067525979785</v>
      </c>
      <c r="C9">
        <f t="shared" si="0"/>
        <v>24.179107146689176</v>
      </c>
      <c r="D9" s="2"/>
      <c r="E9" s="2"/>
    </row>
    <row r="10" spans="1:14" x14ac:dyDescent="0.3">
      <c r="A10">
        <f t="shared" ref="A10:A36" si="2">A9+10</f>
        <v>420</v>
      </c>
      <c r="B10">
        <f t="shared" si="1"/>
        <v>32.905242922987902</v>
      </c>
      <c r="C10">
        <f t="shared" si="0"/>
        <v>23.749494492866763</v>
      </c>
      <c r="D10" s="2"/>
      <c r="E10" s="2"/>
    </row>
    <row r="11" spans="1:14" x14ac:dyDescent="0.3">
      <c r="A11">
        <f t="shared" si="2"/>
        <v>430</v>
      </c>
      <c r="B11">
        <f t="shared" si="1"/>
        <v>32.152295141282337</v>
      </c>
      <c r="C11">
        <f t="shared" si="0"/>
        <v>23.33404127670978</v>
      </c>
      <c r="D11" s="2"/>
      <c r="E11" s="2"/>
    </row>
    <row r="12" spans="1:14" x14ac:dyDescent="0.3">
      <c r="A12">
        <f t="shared" si="2"/>
        <v>440</v>
      </c>
      <c r="B12">
        <f t="shared" si="1"/>
        <v>31.429565614838516</v>
      </c>
      <c r="C12">
        <f t="shared" si="0"/>
        <v>22.932100437589785</v>
      </c>
      <c r="D12" s="2"/>
      <c r="E12" s="2"/>
    </row>
    <row r="13" spans="1:14" x14ac:dyDescent="0.3">
      <c r="A13">
        <f t="shared" si="2"/>
        <v>450</v>
      </c>
      <c r="B13">
        <f t="shared" si="1"/>
        <v>30.735487701920107</v>
      </c>
      <c r="C13">
        <f t="shared" si="0"/>
        <v>22.543061000057879</v>
      </c>
      <c r="D13" s="2"/>
      <c r="E13" s="2"/>
    </row>
    <row r="14" spans="1:14" x14ac:dyDescent="0.3">
      <c r="A14">
        <f t="shared" si="2"/>
        <v>460</v>
      </c>
      <c r="B14">
        <f t="shared" si="1"/>
        <v>30.068582821862453</v>
      </c>
      <c r="C14">
        <f t="shared" si="0"/>
        <v>22.166345822082459</v>
      </c>
      <c r="D14" s="2"/>
      <c r="E14" s="2"/>
    </row>
    <row r="15" spans="1:14" x14ac:dyDescent="0.3">
      <c r="A15">
        <f t="shared" si="2"/>
        <v>470</v>
      </c>
      <c r="B15">
        <f t="shared" si="1"/>
        <v>29.427456403189737</v>
      </c>
      <c r="C15">
        <f t="shared" si="0"/>
        <v>21.801409486351812</v>
      </c>
      <c r="D15" s="2"/>
      <c r="E15" s="2"/>
    </row>
    <row r="16" spans="1:14" x14ac:dyDescent="0.3">
      <c r="A16">
        <f t="shared" si="2"/>
        <v>480</v>
      </c>
      <c r="B16">
        <f t="shared" si="1"/>
        <v>28.810793742973065</v>
      </c>
      <c r="C16">
        <f t="shared" si="0"/>
        <v>21.44773632710535</v>
      </c>
      <c r="D16" s="2"/>
      <c r="E16" s="2"/>
    </row>
    <row r="17" spans="1:5" x14ac:dyDescent="0.3">
      <c r="A17">
        <f t="shared" si="2"/>
        <v>490</v>
      </c>
      <c r="B17">
        <f t="shared" si="1"/>
        <v>28.217355854729298</v>
      </c>
      <c r="C17">
        <f t="shared" si="0"/>
        <v>21.104838584929634</v>
      </c>
      <c r="D17" s="2"/>
      <c r="E17" s="2"/>
    </row>
    <row r="18" spans="1:5" x14ac:dyDescent="0.3">
      <c r="A18">
        <f t="shared" si="2"/>
        <v>500</v>
      </c>
      <c r="B18">
        <f t="shared" si="1"/>
        <v>27.645975363738678</v>
      </c>
      <c r="C18">
        <f t="shared" si="0"/>
        <v>20.77225468204583</v>
      </c>
      <c r="D18" s="2"/>
      <c r="E18" s="2"/>
    </row>
    <row r="19" spans="1:5" x14ac:dyDescent="0.3">
      <c r="A19">
        <f t="shared" si="2"/>
        <v>510</v>
      </c>
      <c r="B19">
        <f t="shared" si="1"/>
        <v>27.0955524937518</v>
      </c>
      <c r="C19">
        <f t="shared" si="0"/>
        <v>20.449547610792582</v>
      </c>
      <c r="D19" s="2"/>
      <c r="E19" s="2"/>
    </row>
    <row r="20" spans="1:5" x14ac:dyDescent="0.3">
      <c r="A20">
        <f t="shared" si="2"/>
        <v>520</v>
      </c>
      <c r="B20">
        <f t="shared" si="1"/>
        <v>26.56505117707799</v>
      </c>
      <c r="C20">
        <f t="shared" si="0"/>
        <v>20.136303428248134</v>
      </c>
    </row>
    <row r="21" spans="1:5" x14ac:dyDescent="0.3">
      <c r="A21">
        <f t="shared" si="2"/>
        <v>530</v>
      </c>
      <c r="B21">
        <f t="shared" si="1"/>
        <v>26.053495310490948</v>
      </c>
      <c r="C21">
        <f t="shared" si="0"/>
        <v>19.832129850218386</v>
      </c>
    </row>
    <row r="22" spans="1:5" x14ac:dyDescent="0.3">
      <c r="A22">
        <f t="shared" si="2"/>
        <v>540</v>
      </c>
      <c r="B22">
        <f t="shared" si="1"/>
        <v>25.559965171823812</v>
      </c>
      <c r="C22">
        <f t="shared" si="0"/>
        <v>19.53665493812839</v>
      </c>
    </row>
    <row r="23" spans="1:5" x14ac:dyDescent="0.3">
      <c r="A23">
        <f t="shared" si="2"/>
        <v>550</v>
      </c>
      <c r="B23">
        <f t="shared" si="1"/>
        <v>25.083594006190918</v>
      </c>
      <c r="C23">
        <f t="shared" si="0"/>
        <v>19.24952587268173</v>
      </c>
    </row>
    <row r="24" spans="1:5" x14ac:dyDescent="0.3">
      <c r="A24">
        <f t="shared" si="2"/>
        <v>560</v>
      </c>
      <c r="B24">
        <f t="shared" si="1"/>
        <v>24.623564786163612</v>
      </c>
      <c r="C24">
        <f t="shared" si="0"/>
        <v>18.970407808486545</v>
      </c>
    </row>
    <row r="25" spans="1:5" x14ac:dyDescent="0.3">
      <c r="A25">
        <f t="shared" si="2"/>
        <v>570</v>
      </c>
      <c r="B25">
        <f t="shared" si="1"/>
        <v>24.179107146689176</v>
      </c>
      <c r="C25">
        <f t="shared" si="0"/>
        <v>18.698982804181121</v>
      </c>
    </row>
    <row r="26" spans="1:5" x14ac:dyDescent="0.3">
      <c r="A26">
        <f t="shared" si="2"/>
        <v>580</v>
      </c>
      <c r="B26">
        <f t="shared" si="1"/>
        <v>23.749494492866763</v>
      </c>
      <c r="C26">
        <f t="shared" si="0"/>
        <v>18.43494882292201</v>
      </c>
    </row>
    <row r="27" spans="1:5" x14ac:dyDescent="0.3">
      <c r="A27">
        <f t="shared" si="2"/>
        <v>590</v>
      </c>
      <c r="B27">
        <f t="shared" si="1"/>
        <v>23.33404127670978</v>
      </c>
      <c r="C27">
        <f t="shared" si="0"/>
        <v>18.178018798418503</v>
      </c>
    </row>
    <row r="28" spans="1:5" x14ac:dyDescent="0.3">
      <c r="A28">
        <f t="shared" si="2"/>
        <v>600</v>
      </c>
      <c r="B28">
        <f t="shared" si="1"/>
        <v>22.932100437589785</v>
      </c>
      <c r="C28">
        <f t="shared" si="0"/>
        <v>17.927919762007239</v>
      </c>
    </row>
    <row r="29" spans="1:5" x14ac:dyDescent="0.3">
      <c r="A29">
        <f t="shared" si="2"/>
        <v>610</v>
      </c>
      <c r="B29">
        <f t="shared" si="1"/>
        <v>22.543061000057879</v>
      </c>
      <c r="C29">
        <f t="shared" si="0"/>
        <v>17.684392026557745</v>
      </c>
    </row>
    <row r="30" spans="1:5" x14ac:dyDescent="0.3">
      <c r="A30">
        <f t="shared" si="2"/>
        <v>620</v>
      </c>
      <c r="B30">
        <f t="shared" si="1"/>
        <v>22.166345822082459</v>
      </c>
      <c r="C30">
        <f t="shared" si="0"/>
        <v>17.447188423282203</v>
      </c>
    </row>
    <row r="31" spans="1:5" x14ac:dyDescent="0.3">
      <c r="A31">
        <f t="shared" si="2"/>
        <v>630</v>
      </c>
      <c r="B31">
        <f t="shared" si="1"/>
        <v>21.801409486351812</v>
      </c>
      <c r="C31">
        <f t="shared" si="0"/>
        <v>17.216073587790714</v>
      </c>
    </row>
    <row r="32" spans="1:5" x14ac:dyDescent="0.3">
      <c r="A32">
        <f t="shared" si="2"/>
        <v>640</v>
      </c>
      <c r="B32">
        <f t="shared" si="1"/>
        <v>21.44773632710535</v>
      </c>
      <c r="C32">
        <f t="shared" si="0"/>
        <v>16.990823291986167</v>
      </c>
    </row>
    <row r="33" spans="1:3" x14ac:dyDescent="0.3">
      <c r="A33">
        <f t="shared" si="2"/>
        <v>650</v>
      </c>
      <c r="B33">
        <f t="shared" si="1"/>
        <v>21.104838584929634</v>
      </c>
      <c r="C33">
        <f t="shared" si="0"/>
        <v>16.771223818630418</v>
      </c>
    </row>
    <row r="34" spans="1:3" x14ac:dyDescent="0.3">
      <c r="A34">
        <f t="shared" si="2"/>
        <v>660</v>
      </c>
      <c r="B34">
        <f t="shared" si="1"/>
        <v>20.77225468204583</v>
      </c>
      <c r="C34">
        <f t="shared" si="0"/>
        <v>16.557071375636653</v>
      </c>
    </row>
    <row r="35" spans="1:3" x14ac:dyDescent="0.3">
      <c r="A35">
        <f t="shared" si="2"/>
        <v>670</v>
      </c>
      <c r="B35">
        <f t="shared" si="1"/>
        <v>20.449547610792582</v>
      </c>
      <c r="C35">
        <f t="shared" si="0"/>
        <v>16.348171547351249</v>
      </c>
    </row>
    <row r="36" spans="1:3" x14ac:dyDescent="0.3">
      <c r="A36">
        <f t="shared" si="2"/>
        <v>680</v>
      </c>
      <c r="B36">
        <f t="shared" si="1"/>
        <v>20.136303428248134</v>
      </c>
      <c r="C36">
        <f t="shared" si="0"/>
        <v>16.144338780283483</v>
      </c>
    </row>
    <row r="37" spans="1:3" x14ac:dyDescent="0.3">
      <c r="A37">
        <f t="shared" ref="A37" si="3">A36+10</f>
        <v>690</v>
      </c>
      <c r="B37">
        <f t="shared" si="1"/>
        <v>19.832129850218386</v>
      </c>
      <c r="C37">
        <f t="shared" si="0"/>
        <v>15.945395900922854</v>
      </c>
    </row>
    <row r="38" spans="1:3" x14ac:dyDescent="0.3">
      <c r="A38">
        <f>A37+20</f>
        <v>710</v>
      </c>
      <c r="B38">
        <f t="shared" si="1"/>
        <v>19.24952587268173</v>
      </c>
      <c r="C38">
        <f t="shared" si="0"/>
        <v>15.561510325328486</v>
      </c>
    </row>
    <row r="39" spans="1:3" x14ac:dyDescent="0.3">
      <c r="A39">
        <f t="shared" ref="A39:A57" si="4">A38+20</f>
        <v>730</v>
      </c>
      <c r="B39">
        <f t="shared" si="1"/>
        <v>18.698982804181121</v>
      </c>
      <c r="C39">
        <f t="shared" si="0"/>
        <v>15.19524852681988</v>
      </c>
    </row>
    <row r="40" spans="1:3" x14ac:dyDescent="0.3">
      <c r="A40">
        <f t="shared" si="4"/>
        <v>750</v>
      </c>
      <c r="B40">
        <f t="shared" ref="B40:B71" si="5">DEGREES(ATAN(L/($A40-W/2)))</f>
        <v>18.178018798418503</v>
      </c>
      <c r="C40">
        <f t="shared" ref="C40:C71" si="6">DEGREES(ATAN(L/($A40+W/2)))</f>
        <v>14.845452082083824</v>
      </c>
    </row>
    <row r="41" spans="1:3" x14ac:dyDescent="0.3">
      <c r="A41">
        <f t="shared" si="4"/>
        <v>770</v>
      </c>
      <c r="B41">
        <f t="shared" si="5"/>
        <v>17.684392026557745</v>
      </c>
      <c r="C41">
        <f t="shared" si="6"/>
        <v>14.51105950016907</v>
      </c>
    </row>
    <row r="42" spans="1:3" x14ac:dyDescent="0.3">
      <c r="A42">
        <f t="shared" si="4"/>
        <v>790</v>
      </c>
      <c r="B42">
        <f t="shared" si="5"/>
        <v>17.216073587790714</v>
      </c>
      <c r="C42">
        <f t="shared" si="6"/>
        <v>14.191096549023978</v>
      </c>
    </row>
    <row r="43" spans="1:3" x14ac:dyDescent="0.3">
      <c r="A43">
        <f t="shared" si="4"/>
        <v>810</v>
      </c>
      <c r="B43">
        <f t="shared" si="5"/>
        <v>16.771223818630418</v>
      </c>
      <c r="C43">
        <f t="shared" si="6"/>
        <v>13.884667685258171</v>
      </c>
    </row>
    <row r="44" spans="1:3" x14ac:dyDescent="0.3">
      <c r="A44">
        <f t="shared" si="4"/>
        <v>830</v>
      </c>
      <c r="B44">
        <f t="shared" si="5"/>
        <v>16.348171547351249</v>
      </c>
      <c r="C44">
        <f t="shared" si="6"/>
        <v>13.590948447841333</v>
      </c>
    </row>
    <row r="45" spans="1:3" x14ac:dyDescent="0.3">
      <c r="A45">
        <f t="shared" si="4"/>
        <v>850</v>
      </c>
      <c r="B45">
        <f t="shared" si="5"/>
        <v>15.945395900922854</v>
      </c>
      <c r="C45">
        <f t="shared" si="6"/>
        <v>13.309178695400478</v>
      </c>
    </row>
    <row r="46" spans="1:3" x14ac:dyDescent="0.3">
      <c r="A46">
        <f t="shared" si="4"/>
        <v>870</v>
      </c>
      <c r="B46">
        <f t="shared" si="5"/>
        <v>15.561510325328486</v>
      </c>
      <c r="C46">
        <f t="shared" si="6"/>
        <v>13.03865658302297</v>
      </c>
    </row>
    <row r="47" spans="1:3" x14ac:dyDescent="0.3">
      <c r="A47">
        <f t="shared" si="4"/>
        <v>890</v>
      </c>
      <c r="B47">
        <f t="shared" si="5"/>
        <v>15.19524852681988</v>
      </c>
      <c r="C47">
        <f t="shared" si="6"/>
        <v>12.778733188406036</v>
      </c>
    </row>
    <row r="48" spans="1:3" x14ac:dyDescent="0.3">
      <c r="A48">
        <f t="shared" si="4"/>
        <v>910</v>
      </c>
      <c r="B48">
        <f t="shared" si="5"/>
        <v>14.845452082083824</v>
      </c>
      <c r="C48">
        <f t="shared" si="6"/>
        <v>12.528807709151511</v>
      </c>
    </row>
    <row r="49" spans="1:3" x14ac:dyDescent="0.3">
      <c r="A49">
        <f t="shared" si="4"/>
        <v>930</v>
      </c>
      <c r="B49">
        <f t="shared" si="5"/>
        <v>14.51105950016907</v>
      </c>
      <c r="C49">
        <f t="shared" si="6"/>
        <v>12.28832316327534</v>
      </c>
    </row>
    <row r="50" spans="1:3" x14ac:dyDescent="0.3">
      <c r="A50">
        <f t="shared" si="4"/>
        <v>950</v>
      </c>
      <c r="B50">
        <f t="shared" si="5"/>
        <v>14.191096549023978</v>
      </c>
      <c r="C50">
        <f t="shared" si="6"/>
        <v>12.056762533832631</v>
      </c>
    </row>
    <row r="51" spans="1:3" x14ac:dyDescent="0.3">
      <c r="A51">
        <f t="shared" si="4"/>
        <v>970</v>
      </c>
      <c r="B51">
        <f t="shared" si="5"/>
        <v>13.884667685258171</v>
      </c>
      <c r="C51">
        <f t="shared" si="6"/>
        <v>11.833645306160674</v>
      </c>
    </row>
    <row r="52" spans="1:3" x14ac:dyDescent="0.3">
      <c r="A52">
        <f t="shared" si="4"/>
        <v>990</v>
      </c>
      <c r="B52">
        <f t="shared" si="5"/>
        <v>13.590948447841333</v>
      </c>
      <c r="C52">
        <f t="shared" si="6"/>
        <v>11.618524352794635</v>
      </c>
    </row>
    <row r="53" spans="1:3" x14ac:dyDescent="0.3">
      <c r="A53">
        <f t="shared" si="4"/>
        <v>1010</v>
      </c>
      <c r="B53">
        <f t="shared" si="5"/>
        <v>13.309178695400478</v>
      </c>
      <c r="C53">
        <f t="shared" si="6"/>
        <v>11.410983126765393</v>
      </c>
    </row>
    <row r="54" spans="1:3" x14ac:dyDescent="0.3">
      <c r="A54">
        <f t="shared" si="4"/>
        <v>1030</v>
      </c>
      <c r="B54">
        <f t="shared" si="5"/>
        <v>13.03865658302297</v>
      </c>
      <c r="C54">
        <f t="shared" si="6"/>
        <v>11.210633128876674</v>
      </c>
    </row>
    <row r="55" spans="1:3" x14ac:dyDescent="0.3">
      <c r="A55">
        <f t="shared" si="4"/>
        <v>1050</v>
      </c>
      <c r="B55">
        <f t="shared" si="5"/>
        <v>12.778733188406036</v>
      </c>
      <c r="C55">
        <f t="shared" si="6"/>
        <v>11.017111618789212</v>
      </c>
    </row>
    <row r="56" spans="1:3" x14ac:dyDescent="0.3">
      <c r="A56">
        <f t="shared" si="4"/>
        <v>1070</v>
      </c>
      <c r="B56">
        <f t="shared" si="5"/>
        <v>12.528807709151511</v>
      </c>
      <c r="C56">
        <f t="shared" si="6"/>
        <v>10.830079543407003</v>
      </c>
    </row>
    <row r="57" spans="1:3" x14ac:dyDescent="0.3">
      <c r="A57">
        <f t="shared" si="4"/>
        <v>1090</v>
      </c>
      <c r="B57">
        <f t="shared" si="5"/>
        <v>12.28832316327534</v>
      </c>
      <c r="C57">
        <f t="shared" si="6"/>
        <v>10.649219659244944</v>
      </c>
    </row>
    <row r="58" spans="1:3" x14ac:dyDescent="0.3">
      <c r="A58">
        <f>A57+40</f>
        <v>1130</v>
      </c>
      <c r="B58">
        <f t="shared" si="5"/>
        <v>11.833645306160674</v>
      </c>
      <c r="C58">
        <f t="shared" si="6"/>
        <v>10.304846468766033</v>
      </c>
    </row>
    <row r="59" spans="1:3" x14ac:dyDescent="0.3">
      <c r="A59">
        <f t="shared" ref="A59:A77" si="7">A58+40</f>
        <v>1170</v>
      </c>
      <c r="B59">
        <f t="shared" si="5"/>
        <v>11.410983126765393</v>
      </c>
      <c r="C59">
        <f t="shared" si="6"/>
        <v>9.9818292877331629</v>
      </c>
    </row>
    <row r="60" spans="1:3" x14ac:dyDescent="0.3">
      <c r="A60">
        <f t="shared" si="7"/>
        <v>1210</v>
      </c>
      <c r="B60">
        <f t="shared" si="5"/>
        <v>11.017111618789212</v>
      </c>
      <c r="C60">
        <f t="shared" si="6"/>
        <v>9.6782600531339451</v>
      </c>
    </row>
    <row r="61" spans="1:3" x14ac:dyDescent="0.3">
      <c r="A61">
        <f t="shared" si="7"/>
        <v>1250</v>
      </c>
      <c r="B61">
        <f t="shared" si="5"/>
        <v>10.649219659244944</v>
      </c>
      <c r="C61">
        <f t="shared" si="6"/>
        <v>9.3924493408189242</v>
      </c>
    </row>
    <row r="62" spans="1:3" x14ac:dyDescent="0.3">
      <c r="A62">
        <f t="shared" si="7"/>
        <v>1290</v>
      </c>
      <c r="B62">
        <f t="shared" si="5"/>
        <v>10.304846468766033</v>
      </c>
      <c r="C62">
        <f t="shared" si="6"/>
        <v>9.1228962053784723</v>
      </c>
    </row>
    <row r="63" spans="1:3" x14ac:dyDescent="0.3">
      <c r="A63">
        <f t="shared" si="7"/>
        <v>1330</v>
      </c>
      <c r="B63">
        <f t="shared" si="5"/>
        <v>9.9818292877331629</v>
      </c>
      <c r="C63">
        <f t="shared" si="6"/>
        <v>8.8682628332075932</v>
      </c>
    </row>
    <row r="64" spans="1:3" x14ac:dyDescent="0.3">
      <c r="A64">
        <f t="shared" si="7"/>
        <v>1370</v>
      </c>
      <c r="B64">
        <f t="shared" si="5"/>
        <v>9.6782600531339451</v>
      </c>
      <c r="C64">
        <f t="shared" si="6"/>
        <v>8.6273531440652391</v>
      </c>
    </row>
    <row r="65" spans="1:3" x14ac:dyDescent="0.3">
      <c r="A65">
        <f t="shared" si="7"/>
        <v>1410</v>
      </c>
      <c r="B65">
        <f t="shared" si="5"/>
        <v>9.3924493408189242</v>
      </c>
      <c r="C65">
        <f t="shared" si="6"/>
        <v>8.3990946478524613</v>
      </c>
    </row>
    <row r="66" spans="1:3" x14ac:dyDescent="0.3">
      <c r="A66">
        <f t="shared" si="7"/>
        <v>1450</v>
      </c>
      <c r="B66">
        <f t="shared" si="5"/>
        <v>9.1228962053784723</v>
      </c>
      <c r="C66">
        <f t="shared" si="6"/>
        <v>8.1825229978214029</v>
      </c>
    </row>
    <row r="67" spans="1:3" x14ac:dyDescent="0.3">
      <c r="A67">
        <f t="shared" si="7"/>
        <v>1490</v>
      </c>
      <c r="B67">
        <f t="shared" si="5"/>
        <v>8.8682628332075932</v>
      </c>
      <c r="C67">
        <f t="shared" si="6"/>
        <v>7.9767687875266278</v>
      </c>
    </row>
    <row r="68" spans="1:3" x14ac:dyDescent="0.3">
      <c r="A68">
        <f t="shared" si="7"/>
        <v>1530</v>
      </c>
      <c r="B68">
        <f t="shared" si="5"/>
        <v>8.6273531440652391</v>
      </c>
      <c r="C68">
        <f t="shared" si="6"/>
        <v>7.781046222983524</v>
      </c>
    </row>
    <row r="69" spans="1:3" x14ac:dyDescent="0.3">
      <c r="A69">
        <f t="shared" si="7"/>
        <v>1570</v>
      </c>
      <c r="B69">
        <f t="shared" si="5"/>
        <v>8.3990946478524613</v>
      </c>
      <c r="C69">
        <f t="shared" si="6"/>
        <v>7.594643368591445</v>
      </c>
    </row>
    <row r="70" spans="1:3" x14ac:dyDescent="0.3">
      <c r="A70">
        <f t="shared" si="7"/>
        <v>1610</v>
      </c>
      <c r="B70">
        <f t="shared" si="5"/>
        <v>8.1825229978214029</v>
      </c>
      <c r="C70">
        <f t="shared" si="6"/>
        <v>7.4169137191383898</v>
      </c>
    </row>
    <row r="71" spans="1:3" x14ac:dyDescent="0.3">
      <c r="A71">
        <f t="shared" si="7"/>
        <v>1650</v>
      </c>
      <c r="B71">
        <f t="shared" si="5"/>
        <v>7.9767687875266278</v>
      </c>
      <c r="C71">
        <f t="shared" si="6"/>
        <v>7.2472688934876883</v>
      </c>
    </row>
    <row r="72" spans="1:3" x14ac:dyDescent="0.3">
      <c r="A72">
        <f t="shared" si="7"/>
        <v>1690</v>
      </c>
      <c r="B72">
        <f t="shared" ref="B72:B103" si="8">DEGREES(ATAN(L/($A72-W/2)))</f>
        <v>7.781046222983524</v>
      </c>
      <c r="C72">
        <f t="shared" ref="C72:C103" si="9">DEGREES(ATAN(L/($A72+W/2)))</f>
        <v>7.085172280558897</v>
      </c>
    </row>
    <row r="73" spans="1:3" x14ac:dyDescent="0.3">
      <c r="A73">
        <f t="shared" si="7"/>
        <v>1730</v>
      </c>
      <c r="B73">
        <f t="shared" si="8"/>
        <v>7.594643368591445</v>
      </c>
      <c r="C73">
        <f t="shared" si="9"/>
        <v>6.9301334966631947</v>
      </c>
    </row>
    <row r="74" spans="1:3" x14ac:dyDescent="0.3">
      <c r="A74">
        <f t="shared" si="7"/>
        <v>1770</v>
      </c>
      <c r="B74">
        <f t="shared" si="8"/>
        <v>7.4169137191383898</v>
      </c>
      <c r="C74">
        <f t="shared" si="9"/>
        <v>6.781703536468549</v>
      </c>
    </row>
    <row r="75" spans="1:3" x14ac:dyDescent="0.3">
      <c r="A75">
        <f t="shared" si="7"/>
        <v>1810</v>
      </c>
      <c r="B75">
        <f t="shared" si="8"/>
        <v>7.2472688934876883</v>
      </c>
      <c r="C75">
        <f t="shared" si="9"/>
        <v>6.6394705188936642</v>
      </c>
    </row>
    <row r="76" spans="1:3" x14ac:dyDescent="0.3">
      <c r="A76">
        <f t="shared" si="7"/>
        <v>1850</v>
      </c>
      <c r="B76">
        <f t="shared" si="8"/>
        <v>7.085172280558897</v>
      </c>
      <c r="C76">
        <f t="shared" si="9"/>
        <v>6.5030559448816971</v>
      </c>
    </row>
    <row r="77" spans="1:3" x14ac:dyDescent="0.3">
      <c r="A77">
        <f t="shared" si="7"/>
        <v>1890</v>
      </c>
      <c r="B77">
        <f t="shared" si="8"/>
        <v>6.9301334966631947</v>
      </c>
      <c r="C77">
        <f t="shared" si="9"/>
        <v>6.3721113969325121</v>
      </c>
    </row>
    <row r="78" spans="1:3" x14ac:dyDescent="0.3">
      <c r="A78">
        <f>A77+80</f>
        <v>1970</v>
      </c>
      <c r="B78">
        <f t="shared" si="8"/>
        <v>6.6394705188936642</v>
      </c>
      <c r="C78">
        <f t="shared" si="9"/>
        <v>6.1253719401997238</v>
      </c>
    </row>
    <row r="79" spans="1:3" x14ac:dyDescent="0.3">
      <c r="A79">
        <f t="shared" ref="A79:A97" si="10">A78+80</f>
        <v>2050</v>
      </c>
      <c r="B79">
        <f t="shared" si="8"/>
        <v>6.3721113969325121</v>
      </c>
      <c r="C79">
        <f t="shared" si="9"/>
        <v>5.8969635102108242</v>
      </c>
    </row>
    <row r="80" spans="1:3" x14ac:dyDescent="0.3">
      <c r="A80">
        <f t="shared" si="10"/>
        <v>2130</v>
      </c>
      <c r="B80">
        <f t="shared" si="8"/>
        <v>6.1253719401997238</v>
      </c>
      <c r="C80">
        <f t="shared" si="9"/>
        <v>5.684922987105633</v>
      </c>
    </row>
    <row r="81" spans="1:3" x14ac:dyDescent="0.3">
      <c r="A81">
        <f t="shared" si="10"/>
        <v>2210</v>
      </c>
      <c r="B81">
        <f t="shared" si="8"/>
        <v>5.8969635102108242</v>
      </c>
      <c r="C81">
        <f t="shared" si="9"/>
        <v>5.4875570600912553</v>
      </c>
    </row>
    <row r="82" spans="1:3" x14ac:dyDescent="0.3">
      <c r="A82">
        <f t="shared" si="10"/>
        <v>2290</v>
      </c>
      <c r="B82">
        <f t="shared" si="8"/>
        <v>5.684922987105633</v>
      </c>
      <c r="C82">
        <f t="shared" si="9"/>
        <v>5.3033975468218699</v>
      </c>
    </row>
    <row r="83" spans="1:3" x14ac:dyDescent="0.3">
      <c r="A83">
        <f t="shared" si="10"/>
        <v>2370</v>
      </c>
      <c r="B83">
        <f t="shared" si="8"/>
        <v>5.4875570600912553</v>
      </c>
      <c r="C83">
        <f t="shared" si="9"/>
        <v>5.131165282896319</v>
      </c>
    </row>
    <row r="84" spans="1:3" x14ac:dyDescent="0.3">
      <c r="A84">
        <f t="shared" si="10"/>
        <v>2450</v>
      </c>
      <c r="B84">
        <f t="shared" si="8"/>
        <v>5.3033975468218699</v>
      </c>
      <c r="C84">
        <f t="shared" si="9"/>
        <v>4.9697407281103043</v>
      </c>
    </row>
    <row r="85" spans="1:3" x14ac:dyDescent="0.3">
      <c r="A85">
        <f t="shared" si="10"/>
        <v>2530</v>
      </c>
      <c r="B85">
        <f t="shared" si="8"/>
        <v>5.131165282896319</v>
      </c>
      <c r="C85">
        <f t="shared" si="9"/>
        <v>4.8181398792810439</v>
      </c>
    </row>
    <row r="86" spans="1:3" x14ac:dyDescent="0.3">
      <c r="A86">
        <f t="shared" si="10"/>
        <v>2610</v>
      </c>
      <c r="B86">
        <f t="shared" si="8"/>
        <v>4.9697407281103043</v>
      </c>
      <c r="C86">
        <f t="shared" si="9"/>
        <v>4.675494407173292</v>
      </c>
    </row>
    <row r="87" spans="1:3" x14ac:dyDescent="0.3">
      <c r="A87">
        <f t="shared" si="10"/>
        <v>2690</v>
      </c>
      <c r="B87">
        <f t="shared" si="8"/>
        <v>4.8181398792810439</v>
      </c>
      <c r="C87">
        <f t="shared" si="9"/>
        <v>4.5410351797050206</v>
      </c>
    </row>
    <row r="88" spans="1:3" x14ac:dyDescent="0.3">
      <c r="A88">
        <f t="shared" si="10"/>
        <v>2770</v>
      </c>
      <c r="B88">
        <f t="shared" si="8"/>
        <v>4.675494407173292</v>
      </c>
      <c r="C88">
        <f t="shared" si="9"/>
        <v>4.4140785178981741</v>
      </c>
    </row>
    <row r="89" spans="1:3" x14ac:dyDescent="0.3">
      <c r="A89">
        <f t="shared" si="10"/>
        <v>2850</v>
      </c>
      <c r="B89">
        <f t="shared" si="8"/>
        <v>4.5410351797050206</v>
      </c>
      <c r="C89">
        <f t="shared" si="9"/>
        <v>4.294014671036531</v>
      </c>
    </row>
    <row r="90" spans="1:3" x14ac:dyDescent="0.3">
      <c r="A90">
        <f t="shared" si="10"/>
        <v>2930</v>
      </c>
      <c r="B90">
        <f t="shared" si="8"/>
        <v>4.4140785178981741</v>
      </c>
      <c r="C90">
        <f t="shared" si="9"/>
        <v>4.1802981046953471</v>
      </c>
    </row>
    <row r="91" spans="1:3" x14ac:dyDescent="0.3">
      <c r="A91">
        <f t="shared" si="10"/>
        <v>3010</v>
      </c>
      <c r="B91">
        <f t="shared" si="8"/>
        <v>4.294014671036531</v>
      </c>
      <c r="C91">
        <f t="shared" si="9"/>
        <v>4.0724392780193002</v>
      </c>
    </row>
    <row r="92" spans="1:3" x14ac:dyDescent="0.3">
      <c r="A92">
        <f t="shared" si="10"/>
        <v>3090</v>
      </c>
      <c r="B92">
        <f t="shared" si="8"/>
        <v>4.1802981046953471</v>
      </c>
      <c r="C92">
        <f t="shared" si="9"/>
        <v>3.9699976508981791</v>
      </c>
    </row>
    <row r="93" spans="1:3" x14ac:dyDescent="0.3">
      <c r="A93">
        <f t="shared" si="10"/>
        <v>3170</v>
      </c>
      <c r="B93">
        <f t="shared" si="8"/>
        <v>4.0724392780193002</v>
      </c>
      <c r="C93">
        <f t="shared" si="9"/>
        <v>3.8725757119732624</v>
      </c>
    </row>
    <row r="94" spans="1:3" x14ac:dyDescent="0.3">
      <c r="A94">
        <f t="shared" si="10"/>
        <v>3250</v>
      </c>
      <c r="B94">
        <f t="shared" si="8"/>
        <v>3.9699976508981791</v>
      </c>
      <c r="C94">
        <f t="shared" si="9"/>
        <v>3.7798138579992799</v>
      </c>
    </row>
    <row r="95" spans="1:3" x14ac:dyDescent="0.3">
      <c r="A95">
        <f t="shared" si="10"/>
        <v>3330</v>
      </c>
      <c r="B95">
        <f t="shared" si="8"/>
        <v>3.8725757119732624</v>
      </c>
      <c r="C95">
        <f t="shared" si="9"/>
        <v>3.6913859864512757</v>
      </c>
    </row>
    <row r="96" spans="1:3" x14ac:dyDescent="0.3">
      <c r="A96">
        <f t="shared" si="10"/>
        <v>3410</v>
      </c>
      <c r="B96">
        <f t="shared" si="8"/>
        <v>3.7798138579992799</v>
      </c>
      <c r="C96">
        <f t="shared" si="9"/>
        <v>3.6069956882565601</v>
      </c>
    </row>
    <row r="97" spans="1:3" x14ac:dyDescent="0.3">
      <c r="A97">
        <f t="shared" si="10"/>
        <v>3490</v>
      </c>
      <c r="B97">
        <f t="shared" si="8"/>
        <v>3.6913859864512757</v>
      </c>
      <c r="C97">
        <f t="shared" si="9"/>
        <v>3.5263729475548127</v>
      </c>
    </row>
    <row r="98" spans="1:3" x14ac:dyDescent="0.3">
      <c r="A98">
        <f>A97+160</f>
        <v>3650</v>
      </c>
      <c r="B98">
        <f t="shared" si="8"/>
        <v>3.5263729475548127</v>
      </c>
      <c r="C98">
        <f t="shared" si="9"/>
        <v>3.3754651863028751</v>
      </c>
    </row>
    <row r="99" spans="1:3" x14ac:dyDescent="0.3">
      <c r="A99">
        <f t="shared" ref="A99:A117" si="11">A98+160</f>
        <v>3810</v>
      </c>
      <c r="B99">
        <f t="shared" si="8"/>
        <v>3.3754651863028751</v>
      </c>
      <c r="C99">
        <f t="shared" si="9"/>
        <v>3.236930109017643</v>
      </c>
    </row>
    <row r="100" spans="1:3" x14ac:dyDescent="0.3">
      <c r="A100">
        <f t="shared" si="11"/>
        <v>3970</v>
      </c>
      <c r="B100">
        <f t="shared" si="8"/>
        <v>3.236930109017643</v>
      </c>
      <c r="C100">
        <f t="shared" si="9"/>
        <v>3.1093074509352618</v>
      </c>
    </row>
    <row r="101" spans="1:3" x14ac:dyDescent="0.3">
      <c r="A101">
        <f t="shared" si="11"/>
        <v>4130</v>
      </c>
      <c r="B101">
        <f t="shared" si="8"/>
        <v>3.1093074509352618</v>
      </c>
      <c r="C101">
        <f t="shared" si="9"/>
        <v>2.9913578407343731</v>
      </c>
    </row>
    <row r="102" spans="1:3" x14ac:dyDescent="0.3">
      <c r="A102">
        <f t="shared" si="11"/>
        <v>4290</v>
      </c>
      <c r="B102">
        <f t="shared" si="8"/>
        <v>2.9913578407343731</v>
      </c>
      <c r="C102">
        <f t="shared" si="9"/>
        <v>2.8820225887940696</v>
      </c>
    </row>
    <row r="103" spans="1:3" x14ac:dyDescent="0.3">
      <c r="A103">
        <f t="shared" si="11"/>
        <v>4450</v>
      </c>
      <c r="B103">
        <f t="shared" si="8"/>
        <v>2.8820225887940696</v>
      </c>
      <c r="C103">
        <f t="shared" si="9"/>
        <v>2.7803919443497076</v>
      </c>
    </row>
    <row r="104" spans="1:3" x14ac:dyDescent="0.3">
      <c r="A104">
        <f t="shared" si="11"/>
        <v>4610</v>
      </c>
      <c r="B104">
        <f t="shared" ref="B104:B117" si="12">DEGREES(ATAN(L/($A104-W/2)))</f>
        <v>2.7803919443497076</v>
      </c>
      <c r="C104">
        <f t="shared" ref="C104:C117" si="13">DEGREES(ATAN(L/($A104+W/2)))</f>
        <v>2.6856798127331287</v>
      </c>
    </row>
    <row r="105" spans="1:3" x14ac:dyDescent="0.3">
      <c r="A105">
        <f t="shared" si="11"/>
        <v>4770</v>
      </c>
      <c r="B105">
        <f t="shared" si="12"/>
        <v>2.6856798127331287</v>
      </c>
      <c r="C105">
        <f t="shared" si="13"/>
        <v>2.597203450222775</v>
      </c>
    </row>
    <row r="106" spans="1:3" x14ac:dyDescent="0.3">
      <c r="A106">
        <f t="shared" si="11"/>
        <v>4930</v>
      </c>
      <c r="B106">
        <f t="shared" si="12"/>
        <v>2.597203450222775</v>
      </c>
      <c r="C106">
        <f t="shared" si="13"/>
        <v>2.5143670302411882</v>
      </c>
    </row>
    <row r="107" spans="1:3" x14ac:dyDescent="0.3">
      <c r="A107">
        <f t="shared" si="11"/>
        <v>5090</v>
      </c>
      <c r="B107">
        <f t="shared" si="12"/>
        <v>2.5143670302411882</v>
      </c>
      <c r="C107">
        <f t="shared" si="13"/>
        <v>2.4366482468101309</v>
      </c>
    </row>
    <row r="108" spans="1:3" x14ac:dyDescent="0.3">
      <c r="A108">
        <f t="shared" si="11"/>
        <v>5250</v>
      </c>
      <c r="B108">
        <f t="shared" si="12"/>
        <v>2.4366482468101309</v>
      </c>
      <c r="C108">
        <f t="shared" si="13"/>
        <v>2.3635873203040489</v>
      </c>
    </row>
    <row r="109" spans="1:3" x14ac:dyDescent="0.3">
      <c r="A109">
        <f t="shared" si="11"/>
        <v>5410</v>
      </c>
      <c r="B109">
        <f t="shared" si="12"/>
        <v>2.3635873203040489</v>
      </c>
      <c r="C109">
        <f t="shared" si="13"/>
        <v>2.2947779177685232</v>
      </c>
    </row>
    <row r="110" spans="1:3" x14ac:dyDescent="0.3">
      <c r="A110">
        <f t="shared" si="11"/>
        <v>5570</v>
      </c>
      <c r="B110">
        <f t="shared" si="12"/>
        <v>2.2947779177685232</v>
      </c>
      <c r="C110">
        <f t="shared" si="13"/>
        <v>2.229859609993496</v>
      </c>
    </row>
    <row r="111" spans="1:3" x14ac:dyDescent="0.3">
      <c r="A111">
        <f t="shared" si="11"/>
        <v>5730</v>
      </c>
      <c r="B111">
        <f t="shared" si="12"/>
        <v>2.229859609993496</v>
      </c>
      <c r="C111">
        <f t="shared" si="13"/>
        <v>2.1685115703603968</v>
      </c>
    </row>
    <row r="112" spans="1:3" x14ac:dyDescent="0.3">
      <c r="A112">
        <f t="shared" si="11"/>
        <v>5890</v>
      </c>
      <c r="B112">
        <f t="shared" si="12"/>
        <v>2.1685115703603968</v>
      </c>
      <c r="C112">
        <f t="shared" si="13"/>
        <v>2.110447283436748</v>
      </c>
    </row>
    <row r="113" spans="1:3" x14ac:dyDescent="0.3">
      <c r="A113">
        <f t="shared" si="11"/>
        <v>6050</v>
      </c>
      <c r="B113">
        <f t="shared" si="12"/>
        <v>2.110447283436748</v>
      </c>
      <c r="C113">
        <f t="shared" si="13"/>
        <v>2.0554100795303887</v>
      </c>
    </row>
    <row r="114" spans="1:3" x14ac:dyDescent="0.3">
      <c r="A114">
        <f t="shared" si="11"/>
        <v>6210</v>
      </c>
      <c r="B114">
        <f t="shared" si="12"/>
        <v>2.0554100795303887</v>
      </c>
      <c r="C114">
        <f t="shared" si="13"/>
        <v>2.0031693486618951</v>
      </c>
    </row>
    <row r="115" spans="1:3" x14ac:dyDescent="0.3">
      <c r="A115">
        <f t="shared" si="11"/>
        <v>6370</v>
      </c>
      <c r="B115">
        <f t="shared" si="12"/>
        <v>2.0031693486618951</v>
      </c>
      <c r="C115">
        <f t="shared" si="13"/>
        <v>1.9535173163813975</v>
      </c>
    </row>
    <row r="116" spans="1:3" x14ac:dyDescent="0.3">
      <c r="A116">
        <f t="shared" si="11"/>
        <v>6530</v>
      </c>
      <c r="B116">
        <f t="shared" si="12"/>
        <v>1.9535173163813975</v>
      </c>
      <c r="C116">
        <f t="shared" si="13"/>
        <v>1.9062662865393634</v>
      </c>
    </row>
    <row r="117" spans="1:3" x14ac:dyDescent="0.3">
      <c r="A117">
        <f t="shared" si="11"/>
        <v>6690</v>
      </c>
      <c r="B117">
        <f t="shared" si="12"/>
        <v>1.9062662865393634</v>
      </c>
      <c r="C117">
        <f t="shared" si="13"/>
        <v>1.8612462739986231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E086-1D8A-43C8-AD09-C9B6FF799B1B}">
  <dimension ref="A1:AK47"/>
  <sheetViews>
    <sheetView zoomScale="85" zoomScaleNormal="85" workbookViewId="0">
      <selection activeCell="B6" sqref="B6"/>
    </sheetView>
  </sheetViews>
  <sheetFormatPr defaultRowHeight="14.4" x14ac:dyDescent="0.3"/>
  <cols>
    <col min="2" max="2" width="18.88671875" customWidth="1"/>
  </cols>
  <sheetData>
    <row r="1" spans="1:37" x14ac:dyDescent="0.3">
      <c r="A1" t="s">
        <v>12</v>
      </c>
    </row>
    <row r="2" spans="1:37" x14ac:dyDescent="0.3">
      <c r="A2" t="s">
        <v>13</v>
      </c>
      <c r="B2">
        <f>W</f>
        <v>160</v>
      </c>
      <c r="C2" t="s">
        <v>6</v>
      </c>
      <c r="E2" t="s">
        <v>24</v>
      </c>
      <c r="F2">
        <f>B2*B2</f>
        <v>25600</v>
      </c>
      <c r="L2">
        <f>RADIANS(Sheet1!B8)/40</f>
        <v>1.5057183653374103E-2</v>
      </c>
      <c r="AJ2">
        <v>1</v>
      </c>
    </row>
    <row r="3" spans="1:37" x14ac:dyDescent="0.3">
      <c r="A3" t="s">
        <v>43</v>
      </c>
      <c r="B3">
        <f>IF(ISNUMBER('Input Parameters'!B5),'Input Parameters'!B1/'Input Parameters'!B5,'Input Parameters'!B4)</f>
        <v>4</v>
      </c>
      <c r="J3" t="s">
        <v>21</v>
      </c>
      <c r="L3" t="s">
        <v>22</v>
      </c>
      <c r="M3" t="s">
        <v>23</v>
      </c>
      <c r="N3" t="s">
        <v>29</v>
      </c>
      <c r="O3" t="s">
        <v>26</v>
      </c>
      <c r="P3" t="s">
        <v>31</v>
      </c>
      <c r="Q3" t="s">
        <v>32</v>
      </c>
      <c r="R3" t="s">
        <v>27</v>
      </c>
      <c r="S3" t="s">
        <v>33</v>
      </c>
      <c r="T3" t="s">
        <v>28</v>
      </c>
      <c r="W3" t="s">
        <v>36</v>
      </c>
      <c r="X3" t="s">
        <v>37</v>
      </c>
      <c r="Y3" t="s">
        <v>36</v>
      </c>
      <c r="Z3" t="s">
        <v>37</v>
      </c>
      <c r="AE3" t="s">
        <v>34</v>
      </c>
      <c r="AF3" t="s">
        <v>35</v>
      </c>
      <c r="AG3" t="s">
        <v>39</v>
      </c>
      <c r="AH3" t="s">
        <v>40</v>
      </c>
    </row>
    <row r="4" spans="1:37" x14ac:dyDescent="0.3">
      <c r="A4" t="s">
        <v>14</v>
      </c>
      <c r="B4">
        <f>ROUND(B2/B3,0)</f>
        <v>40</v>
      </c>
      <c r="C4" t="s">
        <v>6</v>
      </c>
      <c r="E4" t="s">
        <v>25</v>
      </c>
      <c r="F4">
        <f>B4*B4</f>
        <v>1600</v>
      </c>
      <c r="J4">
        <f>d*COS(RADIANS(B5))</f>
        <v>35.95176185196668</v>
      </c>
      <c r="K4">
        <v>1</v>
      </c>
      <c r="L4">
        <f>RADIANS(90-B5)</f>
        <v>1.1170107212763709</v>
      </c>
      <c r="M4">
        <f t="shared" ref="M4:M44" si="0">SQRT(d_2+W_2-2*d*W*COS(L4))</f>
        <v>146.93144428984496</v>
      </c>
      <c r="N4">
        <f>M4*M4</f>
        <v>21588.849321099813</v>
      </c>
      <c r="O4">
        <f t="shared" ref="O4:O44" si="1">ACOS((N4-d_2-L_4_2)/(-2*d*L_4))</f>
        <v>2.0245819323134224</v>
      </c>
      <c r="P4">
        <f t="shared" ref="P4:P44" si="2">ACOS((d_2-N4-W_2)/(-2*M4*W))</f>
        <v>0.24719369063827168</v>
      </c>
      <c r="Q4">
        <f t="shared" ref="Q4:Q44" si="3">ACOS((L_4_2-N4-d_2)/(-2*d*M4))</f>
        <v>0.86981703063809945</v>
      </c>
      <c r="R4">
        <f>PI()-Q4-P4</f>
        <v>2.024581932313422</v>
      </c>
      <c r="S4">
        <f>2*PI()-P4-O4-L4-Q4</f>
        <v>2.0245819323134224</v>
      </c>
      <c r="T4">
        <f>S4+L4-PI()</f>
        <v>0</v>
      </c>
      <c r="U4">
        <f t="shared" ref="U4:U44" si="4">d*COS(L4)+½_L4*COS(T4)</f>
        <v>80</v>
      </c>
      <c r="V4">
        <f t="shared" ref="V4:V44" si="5">d*SIN(L4)+½_L4*SIN(T4)</f>
        <v>35.95176185196668</v>
      </c>
      <c r="W4">
        <f>$L$4-L4</f>
        <v>0</v>
      </c>
      <c r="X4">
        <f t="shared" ref="X4:X44" si="6">RADIANS(90+$B$5)-R4</f>
        <v>0</v>
      </c>
      <c r="Y4">
        <f>DEGREES(W4)</f>
        <v>0</v>
      </c>
      <c r="Z4">
        <f>DEGREES(X4)</f>
        <v>0</v>
      </c>
      <c r="AA4">
        <f t="shared" ref="AA4:AA44" si="7">d*COS(L4)</f>
        <v>17.5348458715631</v>
      </c>
      <c r="AB4">
        <f t="shared" ref="AB4:AB44" si="8">d*SIN(L4)</f>
        <v>35.95176185196668</v>
      </c>
      <c r="AC4">
        <f t="shared" ref="AC4:AC44" si="9">W+d*COS(R4)</f>
        <v>142.46515412843692</v>
      </c>
      <c r="AD4">
        <f t="shared" ref="AD4:AD44" si="10">d*SIN(R4)</f>
        <v>35.951761851966687</v>
      </c>
      <c r="AE4">
        <f>(AA4+AC4)/2</f>
        <v>80.000000000000014</v>
      </c>
      <c r="AF4">
        <f>(AB4+AD4)/2</f>
        <v>35.95176185196668</v>
      </c>
      <c r="AG4">
        <f>AE4-AE$4</f>
        <v>0</v>
      </c>
      <c r="AH4">
        <f>ABS(AF4-AF$4)</f>
        <v>0</v>
      </c>
      <c r="AJ4">
        <v>0</v>
      </c>
      <c r="AK4">
        <v>0</v>
      </c>
    </row>
    <row r="5" spans="1:37" x14ac:dyDescent="0.3">
      <c r="A5" s="6" t="s">
        <v>15</v>
      </c>
      <c r="B5">
        <f>'Input Parameters'!B6</f>
        <v>26</v>
      </c>
      <c r="C5" t="s">
        <v>17</v>
      </c>
      <c r="J5">
        <f>J4/B2</f>
        <v>0.22469851157479176</v>
      </c>
      <c r="K5">
        <v>2</v>
      </c>
      <c r="L5">
        <f>L4-$L$2</f>
        <v>1.1019535376229967</v>
      </c>
      <c r="M5">
        <f t="shared" si="0"/>
        <v>146.34297250417555</v>
      </c>
      <c r="N5">
        <f t="shared" ref="N5:N44" si="11">M5*M5</f>
        <v>21416.265601357882</v>
      </c>
      <c r="O5">
        <f t="shared" si="1"/>
        <v>2.0054575463124955</v>
      </c>
      <c r="P5">
        <f t="shared" si="2"/>
        <v>0.24631918535780839</v>
      </c>
      <c r="Q5">
        <f t="shared" si="3"/>
        <v>0.88560839454756435</v>
      </c>
      <c r="R5">
        <f t="shared" ref="R5:R30" si="12">PI()-Q5-P5</f>
        <v>2.0096650736844204</v>
      </c>
      <c r="S5">
        <f t="shared" ref="S5:S30" si="13">2*PI()-P5-O5-L5-Q5</f>
        <v>2.0438466433387208</v>
      </c>
      <c r="T5">
        <f t="shared" ref="T5:T44" si="14">S5+L5-PI()</f>
        <v>4.2075273719244244E-3</v>
      </c>
      <c r="U5">
        <f t="shared" si="4"/>
        <v>80.538771205746656</v>
      </c>
      <c r="V5">
        <f t="shared" si="5"/>
        <v>35.946494111343931</v>
      </c>
      <c r="W5">
        <f t="shared" ref="W5:W44" si="15">$L$4-L5</f>
        <v>1.5057183653374162E-2</v>
      </c>
      <c r="X5">
        <f t="shared" si="6"/>
        <v>1.491685862900205E-2</v>
      </c>
      <c r="Y5">
        <f t="shared" ref="Y5:Y44" si="16">DEGREES(W5)</f>
        <v>0.86271307469171332</v>
      </c>
      <c r="Z5">
        <f t="shared" ref="Z5:Z44" si="17">DEGREES(X5)</f>
        <v>0.85467304303512093</v>
      </c>
      <c r="AA5">
        <f t="shared" si="7"/>
        <v>18.074169995756613</v>
      </c>
      <c r="AB5">
        <f t="shared" si="8"/>
        <v>35.683671041030678</v>
      </c>
      <c r="AC5">
        <f t="shared" si="9"/>
        <v>143.00337241573672</v>
      </c>
      <c r="AD5">
        <f t="shared" si="10"/>
        <v>36.209317181657276</v>
      </c>
      <c r="AE5">
        <f t="shared" ref="AE5:AE44" si="18">(AA5+AC5)/2</f>
        <v>80.53877120574667</v>
      </c>
      <c r="AF5">
        <f t="shared" ref="AF5:AF44" si="19">(AB5+AD5)/2</f>
        <v>35.946494111343981</v>
      </c>
      <c r="AG5">
        <f t="shared" ref="AG5:AG44" si="20">AE5-AE$4</f>
        <v>0.53877120574665582</v>
      </c>
      <c r="AH5">
        <f t="shared" ref="AH5:AH44" si="21">ABS(AF5-AF$4)</f>
        <v>5.2677406226990797E-3</v>
      </c>
      <c r="AJ5" cm="1">
        <f t="array" ref="AJ5">d*COS(INDEX($L$4:$L$44,$AJ$2))</f>
        <v>17.5348458715631</v>
      </c>
      <c r="AK5" cm="1">
        <f t="array" ref="AK5">d*SIN(INDEX($L$4:$L$44,$AJ$2))</f>
        <v>35.95176185196668</v>
      </c>
    </row>
    <row r="6" spans="1:37" x14ac:dyDescent="0.3">
      <c r="A6" t="s">
        <v>19</v>
      </c>
      <c r="B6" s="7">
        <f>B2-2*B4*SIN(RADIANS(B5))</f>
        <v>124.93030825687381</v>
      </c>
      <c r="C6" t="s">
        <v>6</v>
      </c>
      <c r="E6" t="s">
        <v>30</v>
      </c>
      <c r="F6">
        <f>B6*B6</f>
        <v>15607.581921157514</v>
      </c>
      <c r="I6">
        <f>4.7/14.87</f>
        <v>0.31607262945527914</v>
      </c>
      <c r="K6">
        <v>3</v>
      </c>
      <c r="L6">
        <f t="shared" ref="L6:L44" si="22">L5-$L$2</f>
        <v>1.0868963539696226</v>
      </c>
      <c r="M6">
        <f t="shared" si="0"/>
        <v>145.75662296460504</v>
      </c>
      <c r="N6">
        <f t="shared" si="11"/>
        <v>21244.993138046029</v>
      </c>
      <c r="O6">
        <f t="shared" si="1"/>
        <v>1.9866449200289651</v>
      </c>
      <c r="P6">
        <f t="shared" si="2"/>
        <v>0.24537694817833144</v>
      </c>
      <c r="Q6">
        <f t="shared" si="3"/>
        <v>0.90119172461545916</v>
      </c>
      <c r="R6">
        <f t="shared" si="12"/>
        <v>1.9950239807960026</v>
      </c>
      <c r="S6">
        <f t="shared" si="13"/>
        <v>2.0630753603872076</v>
      </c>
      <c r="T6">
        <f t="shared" si="14"/>
        <v>8.3790607670373163E-3</v>
      </c>
      <c r="U6">
        <f t="shared" si="4"/>
        <v>81.072357787509134</v>
      </c>
      <c r="V6">
        <f t="shared" si="5"/>
        <v>35.930883422352274</v>
      </c>
      <c r="W6">
        <f t="shared" si="15"/>
        <v>3.0114367306748324E-2</v>
      </c>
      <c r="X6">
        <f t="shared" si="6"/>
        <v>2.95579515174198E-2</v>
      </c>
      <c r="Y6">
        <f t="shared" si="16"/>
        <v>1.7254261493834266</v>
      </c>
      <c r="Z6">
        <f t="shared" si="17"/>
        <v>1.693545873000462</v>
      </c>
      <c r="AA6">
        <f t="shared" si="7"/>
        <v>18.609396443606151</v>
      </c>
      <c r="AB6">
        <f t="shared" si="8"/>
        <v>35.407490224593701</v>
      </c>
      <c r="AC6">
        <f t="shared" si="9"/>
        <v>143.53531913141211</v>
      </c>
      <c r="AD6">
        <f t="shared" si="10"/>
        <v>36.45427662011079</v>
      </c>
      <c r="AE6">
        <f t="shared" si="18"/>
        <v>81.072357787509134</v>
      </c>
      <c r="AF6">
        <f t="shared" si="19"/>
        <v>35.930883422352245</v>
      </c>
      <c r="AG6">
        <f t="shared" si="20"/>
        <v>1.0723577875091195</v>
      </c>
      <c r="AH6">
        <f t="shared" si="21"/>
        <v>2.0878429614434424E-2</v>
      </c>
      <c r="AJ6" cm="1">
        <f t="array" ref="AJ6">W+d*COS(INDEX($R$4:$R$44,$AJ$2))</f>
        <v>142.46515412843692</v>
      </c>
      <c r="AK6" cm="1">
        <f t="array" ref="AK6">d*SIN(INDEX($R$4:$R$44,$AJ$2))</f>
        <v>35.951761851966687</v>
      </c>
    </row>
    <row r="7" spans="1:37" x14ac:dyDescent="0.3">
      <c r="A7" t="s">
        <v>20</v>
      </c>
      <c r="B7" s="7">
        <f>B6/2</f>
        <v>62.465154128436907</v>
      </c>
      <c r="C7" t="s">
        <v>6</v>
      </c>
      <c r="K7">
        <v>4</v>
      </c>
      <c r="L7">
        <f t="shared" si="22"/>
        <v>1.0718391703162484</v>
      </c>
      <c r="M7">
        <f t="shared" si="0"/>
        <v>145.1725551235993</v>
      </c>
      <c r="N7">
        <f t="shared" si="11"/>
        <v>21075.070761114475</v>
      </c>
      <c r="O7">
        <f t="shared" si="1"/>
        <v>1.968133815816776</v>
      </c>
      <c r="P7">
        <f t="shared" si="2"/>
        <v>0.24436641540740167</v>
      </c>
      <c r="Q7">
        <f t="shared" si="3"/>
        <v>0.91657429533143431</v>
      </c>
      <c r="R7">
        <f t="shared" si="12"/>
        <v>1.9806519428509572</v>
      </c>
      <c r="S7">
        <f t="shared" si="13"/>
        <v>2.0822716103077257</v>
      </c>
      <c r="T7">
        <f t="shared" si="14"/>
        <v>1.2518127034180981E-2</v>
      </c>
      <c r="U7">
        <f t="shared" si="4"/>
        <v>81.600663809587274</v>
      </c>
      <c r="V7">
        <f t="shared" si="5"/>
        <v>35.905208329300955</v>
      </c>
      <c r="W7">
        <f t="shared" si="15"/>
        <v>4.5171550960122486E-2</v>
      </c>
      <c r="X7">
        <f t="shared" si="6"/>
        <v>4.392998946246518E-2</v>
      </c>
      <c r="Y7">
        <f t="shared" si="16"/>
        <v>2.5881392240751402</v>
      </c>
      <c r="Z7">
        <f t="shared" si="17"/>
        <v>2.517002990253435</v>
      </c>
      <c r="AA7">
        <f t="shared" si="7"/>
        <v>19.140403871517258</v>
      </c>
      <c r="AB7">
        <f t="shared" si="8"/>
        <v>35.123282016850411</v>
      </c>
      <c r="AC7">
        <f t="shared" si="9"/>
        <v>144.06092374765734</v>
      </c>
      <c r="AD7">
        <f t="shared" si="10"/>
        <v>36.687134641751541</v>
      </c>
      <c r="AE7">
        <f t="shared" si="18"/>
        <v>81.600663809587303</v>
      </c>
      <c r="AF7">
        <f t="shared" si="19"/>
        <v>35.905208329300976</v>
      </c>
      <c r="AG7">
        <f t="shared" si="20"/>
        <v>1.6006638095872887</v>
      </c>
      <c r="AH7">
        <f t="shared" si="21"/>
        <v>4.6553522665703895E-2</v>
      </c>
      <c r="AJ7">
        <f>W</f>
        <v>160</v>
      </c>
      <c r="AK7">
        <v>0</v>
      </c>
    </row>
    <row r="8" spans="1:37" x14ac:dyDescent="0.3">
      <c r="A8" t="s">
        <v>18</v>
      </c>
      <c r="K8">
        <v>5</v>
      </c>
      <c r="L8">
        <f t="shared" si="22"/>
        <v>1.0567819866628743</v>
      </c>
      <c r="M8">
        <f t="shared" si="0"/>
        <v>144.59092984841507</v>
      </c>
      <c r="N8">
        <f t="shared" si="11"/>
        <v>20906.536994429287</v>
      </c>
      <c r="O8">
        <f t="shared" si="1"/>
        <v>1.9499149819527535</v>
      </c>
      <c r="P8">
        <f t="shared" si="2"/>
        <v>0.24328703845896604</v>
      </c>
      <c r="Q8">
        <f t="shared" si="3"/>
        <v>0.93176261014662076</v>
      </c>
      <c r="R8">
        <f t="shared" si="12"/>
        <v>1.9665430049842063</v>
      </c>
      <c r="S8">
        <f t="shared" si="13"/>
        <v>2.1014386899583717</v>
      </c>
      <c r="T8">
        <f t="shared" si="14"/>
        <v>1.6628023031453054E-2</v>
      </c>
      <c r="U8">
        <f t="shared" si="4"/>
        <v>82.123590688666297</v>
      </c>
      <c r="V8">
        <f t="shared" si="5"/>
        <v>35.869735010157079</v>
      </c>
      <c r="W8">
        <f t="shared" si="15"/>
        <v>6.0228734613496648E-2</v>
      </c>
      <c r="X8">
        <f t="shared" si="6"/>
        <v>5.8038927329216117E-2</v>
      </c>
      <c r="Y8">
        <f t="shared" si="16"/>
        <v>3.4508522987668533</v>
      </c>
      <c r="Z8">
        <f t="shared" si="17"/>
        <v>3.3253855834305743</v>
      </c>
      <c r="AA8">
        <f t="shared" si="7"/>
        <v>19.667071892408462</v>
      </c>
      <c r="AB8">
        <f t="shared" si="8"/>
        <v>34.831110851921409</v>
      </c>
      <c r="AC8">
        <f t="shared" si="9"/>
        <v>144.58010948492412</v>
      </c>
      <c r="AD8">
        <f t="shared" si="10"/>
        <v>36.908359168392636</v>
      </c>
      <c r="AE8">
        <f t="shared" si="18"/>
        <v>82.123590688666297</v>
      </c>
      <c r="AF8">
        <f t="shared" si="19"/>
        <v>35.869735010157022</v>
      </c>
      <c r="AG8">
        <f t="shared" si="20"/>
        <v>2.1235906886662832</v>
      </c>
      <c r="AH8">
        <f t="shared" si="21"/>
        <v>8.2026841809657469E-2</v>
      </c>
    </row>
    <row r="9" spans="1:37" x14ac:dyDescent="0.3">
      <c r="A9" t="s">
        <v>39</v>
      </c>
      <c r="B9" t="s">
        <v>40</v>
      </c>
      <c r="K9">
        <v>6</v>
      </c>
      <c r="L9">
        <f t="shared" si="22"/>
        <v>1.0417248030095001</v>
      </c>
      <c r="M9">
        <f t="shared" si="0"/>
        <v>144.01190939307233</v>
      </c>
      <c r="N9">
        <f t="shared" si="11"/>
        <v>20739.430047038473</v>
      </c>
      <c r="O9">
        <f t="shared" si="1"/>
        <v>1.9319800563666853</v>
      </c>
      <c r="P9">
        <f t="shared" si="2"/>
        <v>0.242138284942917</v>
      </c>
      <c r="Q9">
        <f t="shared" si="3"/>
        <v>0.94676247262462365</v>
      </c>
      <c r="R9">
        <f t="shared" si="12"/>
        <v>1.9526918960222526</v>
      </c>
      <c r="S9">
        <f t="shared" si="13"/>
        <v>2.1205796902358598</v>
      </c>
      <c r="T9">
        <f t="shared" si="14"/>
        <v>2.0711839655566777E-2</v>
      </c>
      <c r="U9">
        <f t="shared" si="4"/>
        <v>82.641037550058371</v>
      </c>
      <c r="V9">
        <f t="shared" si="5"/>
        <v>35.824718727414748</v>
      </c>
      <c r="W9">
        <f t="shared" si="15"/>
        <v>7.528591826687081E-2</v>
      </c>
      <c r="X9">
        <f t="shared" si="6"/>
        <v>7.1890036291169856E-2</v>
      </c>
      <c r="Y9">
        <f t="shared" si="16"/>
        <v>4.3135653734585668</v>
      </c>
      <c r="Z9">
        <f t="shared" si="17"/>
        <v>4.1189956685263542</v>
      </c>
      <c r="AA9">
        <f t="shared" si="7"/>
        <v>20.189281103004767</v>
      </c>
      <c r="AB9">
        <f t="shared" si="8"/>
        <v>34.531042969245149</v>
      </c>
      <c r="AC9">
        <f t="shared" si="9"/>
        <v>145.09279399711198</v>
      </c>
      <c r="AD9">
        <f t="shared" si="10"/>
        <v>37.118394485584368</v>
      </c>
      <c r="AE9">
        <f t="shared" si="18"/>
        <v>82.641037550058371</v>
      </c>
      <c r="AF9">
        <f t="shared" si="19"/>
        <v>35.824718727414762</v>
      </c>
      <c r="AG9">
        <f t="shared" si="20"/>
        <v>2.6410375500583569</v>
      </c>
      <c r="AH9">
        <f t="shared" si="21"/>
        <v>0.12704312455191769</v>
      </c>
    </row>
    <row r="10" spans="1:37" x14ac:dyDescent="0.3">
      <c r="A10">
        <v>0</v>
      </c>
      <c r="B10" cm="1">
        <f t="array" ref="B10">IF(F10&lt;40,INDEX($AH$4:$AH$44,F10)+(A10-INDEX($AG$4:$AG44,F10))*(INDEX($AH$4:$AH$44,F10+1)-INDEX($AH$4:$AH$44,F10))/(INDEX($AG$4:$AG44,F10+1)-INDEX($AG$4:$AG44,F10)),"")</f>
        <v>0</v>
      </c>
      <c r="F10">
        <f t="shared" ref="F10:F47" si="23">_xlfn.XMATCH(A10,$AG$4:$AG$44,-1)</f>
        <v>1</v>
      </c>
      <c r="K10">
        <v>7</v>
      </c>
      <c r="L10">
        <f t="shared" si="22"/>
        <v>1.0266676193561259</v>
      </c>
      <c r="M10">
        <f t="shared" si="0"/>
        <v>143.43565736771805</v>
      </c>
      <c r="N10">
        <f t="shared" si="11"/>
        <v>20573.787804509411</v>
      </c>
      <c r="O10">
        <f t="shared" si="1"/>
        <v>1.9143214827792083</v>
      </c>
      <c r="P10">
        <f t="shared" si="2"/>
        <v>0.24091963978954856</v>
      </c>
      <c r="Q10">
        <f t="shared" si="3"/>
        <v>0.96157904826246576</v>
      </c>
      <c r="R10">
        <f t="shared" si="12"/>
        <v>1.939093965537779</v>
      </c>
      <c r="S10">
        <f t="shared" si="13"/>
        <v>2.1396975169922374</v>
      </c>
      <c r="T10">
        <f t="shared" si="14"/>
        <v>2.4772482758570469E-2</v>
      </c>
      <c r="U10">
        <f t="shared" si="4"/>
        <v>83.152901539600009</v>
      </c>
      <c r="V10">
        <f t="shared" si="5"/>
        <v>35.770405088325688</v>
      </c>
      <c r="W10">
        <f t="shared" si="15"/>
        <v>9.0343101920244973E-2</v>
      </c>
      <c r="X10">
        <f t="shared" si="6"/>
        <v>8.5487966775643409E-2</v>
      </c>
      <c r="Y10">
        <f t="shared" si="16"/>
        <v>5.1762784481502804</v>
      </c>
      <c r="Z10">
        <f t="shared" si="17"/>
        <v>4.8980996953989715</v>
      </c>
      <c r="AA10">
        <f t="shared" si="7"/>
        <v>20.706913110908101</v>
      </c>
      <c r="AB10">
        <f t="shared" si="8"/>
        <v>34.223146398560466</v>
      </c>
      <c r="AC10">
        <f t="shared" si="9"/>
        <v>145.5988899682919</v>
      </c>
      <c r="AD10">
        <f t="shared" si="10"/>
        <v>37.317663778090882</v>
      </c>
      <c r="AE10">
        <f t="shared" si="18"/>
        <v>83.152901539599995</v>
      </c>
      <c r="AF10">
        <f t="shared" si="19"/>
        <v>35.770405088325674</v>
      </c>
      <c r="AG10">
        <f t="shared" si="20"/>
        <v>3.1529015395999807</v>
      </c>
      <c r="AH10">
        <f t="shared" si="21"/>
        <v>0.18135676364100561</v>
      </c>
      <c r="AJ10">
        <v>41</v>
      </c>
    </row>
    <row r="11" spans="1:37" x14ac:dyDescent="0.3">
      <c r="A11">
        <f>A10+1</f>
        <v>1</v>
      </c>
      <c r="B11" cm="1">
        <f t="array" ref="B11">IF(F11&lt;40,INDEX($AH$4:$AH$44,F11)+(A11-INDEX($AG$4:$AG45,F11))*(INDEX($AH$4:$AH$44,F11+1)-INDEX($AH$4:$AH$44,F11))/(INDEX($AG$4:$AG45,F11+1)-INDEX($AG$4:$AG45,F11)),"")</f>
        <v>1.8761519340559172E-2</v>
      </c>
      <c r="F11">
        <f t="shared" si="23"/>
        <v>2</v>
      </c>
      <c r="K11">
        <v>8</v>
      </c>
      <c r="L11">
        <f t="shared" si="22"/>
        <v>1.0116104357027518</v>
      </c>
      <c r="M11">
        <f t="shared" si="0"/>
        <v>142.86233870527127</v>
      </c>
      <c r="N11">
        <f t="shared" si="11"/>
        <v>20409.647820339651</v>
      </c>
      <c r="O11">
        <f t="shared" si="1"/>
        <v>1.8969324373569447</v>
      </c>
      <c r="P11">
        <f t="shared" si="2"/>
        <v>0.23963060640861067</v>
      </c>
      <c r="Q11">
        <f t="shared" si="3"/>
        <v>0.97621691840752967</v>
      </c>
      <c r="R11">
        <f t="shared" si="12"/>
        <v>1.9257451287736529</v>
      </c>
      <c r="S11">
        <f t="shared" si="13"/>
        <v>2.1587949093037495</v>
      </c>
      <c r="T11">
        <f t="shared" si="14"/>
        <v>2.8812691416708169E-2</v>
      </c>
      <c r="U11">
        <f t="shared" si="4"/>
        <v>83.659078098011463</v>
      </c>
      <c r="V11">
        <f t="shared" si="5"/>
        <v>35.707031142828633</v>
      </c>
      <c r="W11">
        <f t="shared" si="15"/>
        <v>0.10540028557361913</v>
      </c>
      <c r="X11">
        <f t="shared" si="6"/>
        <v>9.8836803539769535E-2</v>
      </c>
      <c r="Y11">
        <f t="shared" si="16"/>
        <v>6.0389915228419939</v>
      </c>
      <c r="Z11">
        <f t="shared" si="17"/>
        <v>5.66293170339247</v>
      </c>
      <c r="AA11">
        <f t="shared" si="7"/>
        <v>21.219850561438605</v>
      </c>
      <c r="AB11">
        <f t="shared" si="8"/>
        <v>33.90749094448325</v>
      </c>
      <c r="AC11">
        <f t="shared" si="9"/>
        <v>146.09830563458428</v>
      </c>
      <c r="AD11">
        <f t="shared" si="10"/>
        <v>37.506571341173917</v>
      </c>
      <c r="AE11">
        <f t="shared" si="18"/>
        <v>83.659078098011435</v>
      </c>
      <c r="AF11">
        <f t="shared" si="19"/>
        <v>35.707031142828583</v>
      </c>
      <c r="AG11">
        <f t="shared" si="20"/>
        <v>3.6590780980114204</v>
      </c>
      <c r="AH11">
        <f t="shared" si="21"/>
        <v>0.24473070913809636</v>
      </c>
      <c r="AJ11">
        <v>0</v>
      </c>
      <c r="AK11">
        <v>0</v>
      </c>
    </row>
    <row r="12" spans="1:37" x14ac:dyDescent="0.3">
      <c r="A12">
        <f t="shared" ref="A12:A47" si="24">A11+1</f>
        <v>2</v>
      </c>
      <c r="B12" cm="1">
        <f t="array" ref="B12">IF(F12&lt;40,INDEX($AH$4:$AH$44,F12)+(A12-INDEX($AG$4:$AG46,F12))*(INDEX($AH$4:$AH$44,F12+1)-INDEX($AH$4:$AH$44,F12))/(INDEX($AG$4:$AG46,F12+1)-INDEX($AG$4:$AG46,F12)),"")</f>
        <v>7.3642931711171616E-2</v>
      </c>
      <c r="F12">
        <f t="shared" si="23"/>
        <v>4</v>
      </c>
      <c r="K12">
        <v>9</v>
      </c>
      <c r="L12">
        <f t="shared" si="22"/>
        <v>0.99655325204937772</v>
      </c>
      <c r="M12">
        <f t="shared" si="0"/>
        <v>142.29211962523786</v>
      </c>
      <c r="N12">
        <f t="shared" si="11"/>
        <v>20247.047307443001</v>
      </c>
      <c r="O12">
        <f t="shared" si="1"/>
        <v>1.879806764323104</v>
      </c>
      <c r="P12">
        <f t="shared" si="2"/>
        <v>0.23827070788247418</v>
      </c>
      <c r="Q12">
        <f t="shared" si="3"/>
        <v>0.99068012744923561</v>
      </c>
      <c r="R12">
        <f t="shared" si="12"/>
        <v>1.9126418182580835</v>
      </c>
      <c r="S12">
        <f t="shared" si="13"/>
        <v>2.1778744554753944</v>
      </c>
      <c r="T12">
        <f t="shared" si="14"/>
        <v>3.2835053934979097E-2</v>
      </c>
      <c r="U12">
        <f t="shared" si="4"/>
        <v>84.159461203343255</v>
      </c>
      <c r="V12">
        <f t="shared" si="5"/>
        <v>35.634826342567266</v>
      </c>
      <c r="W12">
        <f t="shared" si="15"/>
        <v>0.12045746922699319</v>
      </c>
      <c r="X12">
        <f t="shared" si="6"/>
        <v>0.11194011405533888</v>
      </c>
      <c r="Y12">
        <f t="shared" si="16"/>
        <v>6.9017045975337004</v>
      </c>
      <c r="Z12">
        <f t="shared" si="17"/>
        <v>6.413696093583984</v>
      </c>
      <c r="AA12">
        <f t="shared" si="7"/>
        <v>21.72797716424062</v>
      </c>
      <c r="AB12">
        <f t="shared" si="8"/>
        <v>33.584148170680734</v>
      </c>
      <c r="AC12">
        <f t="shared" si="9"/>
        <v>146.59094524244586</v>
      </c>
      <c r="AD12">
        <f t="shared" si="10"/>
        <v>37.685504514453761</v>
      </c>
      <c r="AE12">
        <f t="shared" si="18"/>
        <v>84.159461203343241</v>
      </c>
      <c r="AF12">
        <f t="shared" si="19"/>
        <v>35.634826342567251</v>
      </c>
      <c r="AG12">
        <f t="shared" si="20"/>
        <v>4.159461203343227</v>
      </c>
      <c r="AH12">
        <f t="shared" si="21"/>
        <v>0.31693550939942838</v>
      </c>
      <c r="AJ12" cm="1">
        <f t="array" ref="AJ12">d*COS(INDEX($L$4:$L$44,AJ10))</f>
        <v>34.817157455252939</v>
      </c>
      <c r="AK12" cm="1">
        <f t="array" ref="AK12">d*SIN(INDEX($L$4:$L$44,AJ10))</f>
        <v>19.691763423729331</v>
      </c>
    </row>
    <row r="13" spans="1:37" x14ac:dyDescent="0.3">
      <c r="A13">
        <f t="shared" si="24"/>
        <v>3</v>
      </c>
      <c r="B13" cm="1">
        <f t="array" ref="B13">IF(F13&lt;40,INDEX($AH$4:$AH$44,F13)+(A13-INDEX($AG$4:$AG47,F13))*(INDEX($AH$4:$AH$44,F13+1)-INDEX($AH$4:$AH$44,F13))/(INDEX($AG$4:$AG47,F13+1)-INDEX($AG$4:$AG47,F13)),"")</f>
        <v>0.16513245560668566</v>
      </c>
      <c r="F13">
        <f t="shared" si="23"/>
        <v>6</v>
      </c>
      <c r="K13">
        <v>10</v>
      </c>
      <c r="L13">
        <f t="shared" si="22"/>
        <v>0.98149606839600367</v>
      </c>
      <c r="M13">
        <f t="shared" si="0"/>
        <v>141.72516759458367</v>
      </c>
      <c r="N13">
        <f t="shared" si="11"/>
        <v>20086.023129712827</v>
      </c>
      <c r="O13">
        <f t="shared" si="1"/>
        <v>1.8629389192260852</v>
      </c>
      <c r="P13">
        <f t="shared" si="2"/>
        <v>0.2368394881927971</v>
      </c>
      <c r="Q13">
        <f t="shared" si="3"/>
        <v>1.0049722242654719</v>
      </c>
      <c r="R13">
        <f t="shared" si="12"/>
        <v>1.8997809411315241</v>
      </c>
      <c r="S13">
        <f t="shared" si="13"/>
        <v>2.1969386070992285</v>
      </c>
      <c r="T13">
        <f t="shared" si="14"/>
        <v>3.6842021905439282E-2</v>
      </c>
      <c r="U13">
        <f t="shared" si="4"/>
        <v>84.65394358618569</v>
      </c>
      <c r="V13">
        <f t="shared" si="5"/>
        <v>35.55401338039556</v>
      </c>
      <c r="W13">
        <f t="shared" si="15"/>
        <v>0.13551465288036724</v>
      </c>
      <c r="X13">
        <f t="shared" si="6"/>
        <v>0.12480099118189836</v>
      </c>
      <c r="Y13">
        <f t="shared" si="16"/>
        <v>7.7644176722254077</v>
      </c>
      <c r="Z13">
        <f t="shared" si="17"/>
        <v>7.1505700737721796</v>
      </c>
      <c r="AA13">
        <f t="shared" si="7"/>
        <v>22.231177719647413</v>
      </c>
      <c r="AB13">
        <f t="shared" si="8"/>
        <v>33.253191383646964</v>
      </c>
      <c r="AC13">
        <f t="shared" si="9"/>
        <v>147.076709452724</v>
      </c>
      <c r="AD13">
        <f t="shared" si="10"/>
        <v>37.854835377144184</v>
      </c>
      <c r="AE13">
        <f t="shared" si="18"/>
        <v>84.653943586185704</v>
      </c>
      <c r="AF13">
        <f t="shared" si="19"/>
        <v>35.554013380395574</v>
      </c>
      <c r="AG13">
        <f t="shared" si="20"/>
        <v>4.6539435861856902</v>
      </c>
      <c r="AH13">
        <f t="shared" si="21"/>
        <v>0.39774847157110571</v>
      </c>
      <c r="AJ13" cm="1">
        <f t="array" ref="AJ13">W+d*COS(INDEX($R$4:$R$44,AJ10))</f>
        <v>158.0932793836804</v>
      </c>
      <c r="AK13" cm="1">
        <f t="array" ref="AK13">d*SIN(INDEX($R$4:$R$44,AJ10))</f>
        <v>39.954529361404092</v>
      </c>
    </row>
    <row r="14" spans="1:37" x14ac:dyDescent="0.3">
      <c r="A14">
        <f t="shared" si="24"/>
        <v>4</v>
      </c>
      <c r="B14" cm="1">
        <f t="array" ref="B14">IF(F14&lt;40,INDEX($AH$4:$AH$44,F14)+(A14-INDEX($AG$4:$AG48,F14))*(INDEX($AH$4:$AH$44,F14+1)-INDEX($AH$4:$AH$44,F14))/(INDEX($AG$4:$AG48,F14+1)-INDEX($AG$4:$AG48,F14)),"")</f>
        <v>0.29392541130829786</v>
      </c>
      <c r="F14">
        <f t="shared" si="23"/>
        <v>8</v>
      </c>
      <c r="K14">
        <v>11</v>
      </c>
      <c r="L14">
        <f t="shared" si="22"/>
        <v>0.96643888474262962</v>
      </c>
      <c r="M14">
        <f t="shared" si="0"/>
        <v>141.16165128555437</v>
      </c>
      <c r="N14">
        <f t="shared" si="11"/>
        <v>19926.611793664455</v>
      </c>
      <c r="O14">
        <f t="shared" si="1"/>
        <v>1.846323918782421</v>
      </c>
      <c r="P14">
        <f t="shared" si="2"/>
        <v>0.23533651347992124</v>
      </c>
      <c r="Q14">
        <f t="shared" si="3"/>
        <v>1.0190962987431456</v>
      </c>
      <c r="R14">
        <f t="shared" si="12"/>
        <v>1.8871598413667263</v>
      </c>
      <c r="S14">
        <f t="shared" si="13"/>
        <v>2.2159896914314694</v>
      </c>
      <c r="T14">
        <f t="shared" si="14"/>
        <v>4.0835922584305795E-2</v>
      </c>
      <c r="U14">
        <f t="shared" si="4"/>
        <v>85.142416921551813</v>
      </c>
      <c r="V14">
        <f t="shared" si="5"/>
        <v>35.46480892654121</v>
      </c>
      <c r="W14">
        <f t="shared" si="15"/>
        <v>0.15057183653374129</v>
      </c>
      <c r="X14">
        <f t="shared" si="6"/>
        <v>0.13742209094669611</v>
      </c>
      <c r="Y14">
        <f t="shared" si="16"/>
        <v>8.6271307469171141</v>
      </c>
      <c r="Z14">
        <f t="shared" si="17"/>
        <v>7.8737058231086463</v>
      </c>
      <c r="AA14">
        <f t="shared" si="7"/>
        <v>22.729338144798596</v>
      </c>
      <c r="AB14">
        <f t="shared" si="8"/>
        <v>32.914695616083151</v>
      </c>
      <c r="AC14">
        <f t="shared" si="9"/>
        <v>147.55549569830501</v>
      </c>
      <c r="AD14">
        <f t="shared" si="10"/>
        <v>38.014922236999183</v>
      </c>
      <c r="AE14">
        <f t="shared" si="18"/>
        <v>85.142416921551799</v>
      </c>
      <c r="AF14">
        <f t="shared" si="19"/>
        <v>35.464808926541167</v>
      </c>
      <c r="AG14">
        <f t="shared" si="20"/>
        <v>5.142416921551785</v>
      </c>
      <c r="AH14">
        <f t="shared" si="21"/>
        <v>0.48695292542551272</v>
      </c>
      <c r="AJ14">
        <f>W</f>
        <v>160</v>
      </c>
      <c r="AK14">
        <v>0</v>
      </c>
    </row>
    <row r="15" spans="1:37" x14ac:dyDescent="0.3">
      <c r="A15">
        <f t="shared" si="24"/>
        <v>5</v>
      </c>
      <c r="B15" cm="1">
        <f t="array" ref="B15">IF(F15&lt;40,INDEX($AH$4:$AH$44,F15)+(A15-INDEX($AG$4:$AG49,F15))*(INDEX($AH$4:$AH$44,F15+1)-INDEX($AH$4:$AH$44,F15))/(INDEX($AG$4:$AG49,F15+1)-INDEX($AG$4:$AG49,F15)),"")</f>
        <v>0.46094490659039755</v>
      </c>
      <c r="F15">
        <f t="shared" si="23"/>
        <v>10</v>
      </c>
      <c r="K15">
        <v>12</v>
      </c>
      <c r="L15">
        <f t="shared" si="22"/>
        <v>0.95138170108925557</v>
      </c>
      <c r="M15">
        <f t="shared" si="0"/>
        <v>140.60174053033126</v>
      </c>
      <c r="N15">
        <f t="shared" si="11"/>
        <v>19768.849440158596</v>
      </c>
      <c r="O15">
        <f t="shared" si="1"/>
        <v>1.8299572963843369</v>
      </c>
      <c r="P15">
        <f t="shared" si="2"/>
        <v>0.2337613733340671</v>
      </c>
      <c r="Q15">
        <f t="shared" si="3"/>
        <v>1.0330550140616341</v>
      </c>
      <c r="R15">
        <f t="shared" si="12"/>
        <v>1.8747762661940919</v>
      </c>
      <c r="S15">
        <f t="shared" si="13"/>
        <v>2.2350299223102925</v>
      </c>
      <c r="T15">
        <f t="shared" si="14"/>
        <v>4.4818969809754972E-2</v>
      </c>
      <c r="U15">
        <f t="shared" si="4"/>
        <v>85.624772000723681</v>
      </c>
      <c r="V15">
        <f t="shared" si="5"/>
        <v>35.367424274967831</v>
      </c>
      <c r="W15">
        <f t="shared" si="15"/>
        <v>0.16562902018711534</v>
      </c>
      <c r="X15">
        <f t="shared" si="6"/>
        <v>0.14980566611933055</v>
      </c>
      <c r="Y15">
        <f t="shared" si="16"/>
        <v>9.4898438216088223</v>
      </c>
      <c r="Z15">
        <f t="shared" si="17"/>
        <v>8.5832324157835895</v>
      </c>
      <c r="AA15">
        <f t="shared" si="7"/>
        <v>23.222345499504385</v>
      </c>
      <c r="AB15">
        <f t="shared" si="8"/>
        <v>32.568737609886696</v>
      </c>
      <c r="AC15">
        <f t="shared" si="9"/>
        <v>148.02719850194296</v>
      </c>
      <c r="AD15">
        <f t="shared" si="10"/>
        <v>38.166110940048938</v>
      </c>
      <c r="AE15">
        <f t="shared" si="18"/>
        <v>85.624772000723681</v>
      </c>
      <c r="AF15">
        <f t="shared" si="19"/>
        <v>35.367424274967817</v>
      </c>
      <c r="AG15">
        <f t="shared" si="20"/>
        <v>5.6247720007236666</v>
      </c>
      <c r="AH15">
        <f t="shared" si="21"/>
        <v>0.58433757699886257</v>
      </c>
    </row>
    <row r="16" spans="1:37" x14ac:dyDescent="0.3">
      <c r="A16">
        <f t="shared" si="24"/>
        <v>6</v>
      </c>
      <c r="B16" cm="1">
        <f t="array" ref="B16">IF(F16&lt;40,INDEX($AH$4:$AH$44,F16)+(A16-INDEX($AG$4:$AG50,F16))*(INDEX($AH$4:$AH$44,F16+1)-INDEX($AH$4:$AH$44,F16))/(INDEX($AG$4:$AG50,F16+1)-INDEX($AG$4:$AG50,F16)),"")</f>
        <v>0.66736882188989766</v>
      </c>
      <c r="F16">
        <f t="shared" si="23"/>
        <v>12</v>
      </c>
      <c r="K16">
        <v>13</v>
      </c>
      <c r="L16">
        <f t="shared" si="22"/>
        <v>0.93632451743588152</v>
      </c>
      <c r="M16">
        <f t="shared" si="0"/>
        <v>140.04560627241312</v>
      </c>
      <c r="N16">
        <f t="shared" si="11"/>
        <v>19612.771836207758</v>
      </c>
      <c r="O16">
        <f t="shared" si="1"/>
        <v>1.8138350625044863</v>
      </c>
      <c r="P16">
        <f t="shared" si="2"/>
        <v>0.23211368211718786</v>
      </c>
      <c r="Q16">
        <f t="shared" si="3"/>
        <v>1.0468506353211664</v>
      </c>
      <c r="R16">
        <f t="shared" si="12"/>
        <v>1.8626283361514389</v>
      </c>
      <c r="S16">
        <f t="shared" si="13"/>
        <v>2.2540614098008644</v>
      </c>
      <c r="T16">
        <f t="shared" si="14"/>
        <v>4.8793273646952962E-2</v>
      </c>
      <c r="U16">
        <f t="shared" si="4"/>
        <v>86.100898885845268</v>
      </c>
      <c r="V16">
        <f t="shared" si="5"/>
        <v>35.262065911322324</v>
      </c>
      <c r="W16">
        <f t="shared" si="15"/>
        <v>0.18068620384048939</v>
      </c>
      <c r="X16">
        <f t="shared" si="6"/>
        <v>0.16195359616198357</v>
      </c>
      <c r="Y16">
        <f t="shared" si="16"/>
        <v>10.352556896300529</v>
      </c>
      <c r="Z16">
        <f t="shared" si="17"/>
        <v>9.279257537047787</v>
      </c>
      <c r="AA16">
        <f t="shared" si="7"/>
        <v>23.71008801185075</v>
      </c>
      <c r="AB16">
        <f t="shared" si="8"/>
        <v>32.215395798752674</v>
      </c>
      <c r="AC16">
        <f t="shared" si="9"/>
        <v>148.49170975983981</v>
      </c>
      <c r="AD16">
        <f t="shared" si="10"/>
        <v>38.30873602389191</v>
      </c>
      <c r="AE16">
        <f t="shared" si="18"/>
        <v>86.100898885845282</v>
      </c>
      <c r="AF16">
        <f t="shared" si="19"/>
        <v>35.262065911322296</v>
      </c>
      <c r="AG16">
        <f t="shared" si="20"/>
        <v>6.1008988858452682</v>
      </c>
      <c r="AH16">
        <f t="shared" si="21"/>
        <v>0.68969594064438411</v>
      </c>
    </row>
    <row r="17" spans="1:37" x14ac:dyDescent="0.3">
      <c r="A17">
        <f t="shared" si="24"/>
        <v>7</v>
      </c>
      <c r="B17" cm="1">
        <f t="array" ref="B17">IF(F17&lt;40,INDEX($AH$4:$AH$44,F17)+(A17-INDEX($AG$4:$AG51,F17))*(INDEX($AH$4:$AH$44,F17+1)-INDEX($AH$4:$AH$44,F17))/(INDEX($AG$4:$AG51,F17+1)-INDEX($AG$4:$AG51,F17)),"")</f>
        <v>0.91466507137822373</v>
      </c>
      <c r="F17">
        <f t="shared" si="23"/>
        <v>14</v>
      </c>
      <c r="K17">
        <v>14</v>
      </c>
      <c r="L17">
        <f t="shared" si="22"/>
        <v>0.92126733378250747</v>
      </c>
      <c r="M17">
        <f t="shared" si="0"/>
        <v>139.49342051461522</v>
      </c>
      <c r="N17">
        <f t="shared" si="11"/>
        <v>19458.414366867277</v>
      </c>
      <c r="O17">
        <f t="shared" si="1"/>
        <v>1.7979536693473519</v>
      </c>
      <c r="P17">
        <f t="shared" si="2"/>
        <v>0.23039308031420336</v>
      </c>
      <c r="Q17">
        <f t="shared" si="3"/>
        <v>1.0604850550105391</v>
      </c>
      <c r="R17">
        <f t="shared" si="12"/>
        <v>1.8507145182650506</v>
      </c>
      <c r="S17">
        <f t="shared" si="13"/>
        <v>2.2730861687249844</v>
      </c>
      <c r="T17">
        <f t="shared" si="14"/>
        <v>5.2760848917698944E-2</v>
      </c>
      <c r="U17">
        <f t="shared" si="4"/>
        <v>86.570687049631516</v>
      </c>
      <c r="V17">
        <f t="shared" si="5"/>
        <v>35.148936012077378</v>
      </c>
      <c r="W17">
        <f t="shared" si="15"/>
        <v>0.19574338749386344</v>
      </c>
      <c r="X17">
        <f t="shared" si="6"/>
        <v>0.1738674140483718</v>
      </c>
      <c r="Y17">
        <f t="shared" si="16"/>
        <v>11.215269970992235</v>
      </c>
      <c r="Z17">
        <f t="shared" si="17"/>
        <v>9.9618690198253024</v>
      </c>
      <c r="AA17">
        <f t="shared" si="7"/>
        <v>24.192455103539757</v>
      </c>
      <c r="AB17">
        <f t="shared" si="8"/>
        <v>31.854750290391749</v>
      </c>
      <c r="AC17">
        <f t="shared" si="9"/>
        <v>148.94891899572323</v>
      </c>
      <c r="AD17">
        <f t="shared" si="10"/>
        <v>38.443121733762901</v>
      </c>
      <c r="AE17">
        <f t="shared" si="18"/>
        <v>86.570687049631488</v>
      </c>
      <c r="AF17">
        <f t="shared" si="19"/>
        <v>35.148936012077328</v>
      </c>
      <c r="AG17">
        <f t="shared" si="20"/>
        <v>6.5706870496314735</v>
      </c>
      <c r="AH17">
        <f t="shared" si="21"/>
        <v>0.8028258398893513</v>
      </c>
      <c r="AJ17">
        <v>21</v>
      </c>
    </row>
    <row r="18" spans="1:37" x14ac:dyDescent="0.3">
      <c r="A18">
        <f t="shared" si="24"/>
        <v>8</v>
      </c>
      <c r="B18" cm="1">
        <f t="array" ref="B18">IF(F18&lt;40,INDEX($AH$4:$AH$44,F18)+(A18-INDEX($AG$4:$AG52,F18))*(INDEX($AH$4:$AH$44,F18+1)-INDEX($AH$4:$AH$44,F18))/(INDEX($AG$4:$AG52,F18+1)-INDEX($AG$4:$AG52,F18)),"")</f>
        <v>1.2058421327325417</v>
      </c>
      <c r="F18">
        <f t="shared" si="23"/>
        <v>17</v>
      </c>
      <c r="K18">
        <v>15</v>
      </c>
      <c r="L18">
        <f t="shared" si="22"/>
        <v>0.90621015012913342</v>
      </c>
      <c r="M18">
        <f t="shared" si="0"/>
        <v>138.94535626357953</v>
      </c>
      <c r="N18">
        <f t="shared" si="11"/>
        <v>19305.81202721304</v>
      </c>
      <c r="O18">
        <f t="shared" si="1"/>
        <v>1.7823099791934942</v>
      </c>
      <c r="P18">
        <f t="shared" si="2"/>
        <v>0.22859923591209919</v>
      </c>
      <c r="Q18">
        <f t="shared" si="3"/>
        <v>1.0739598157361847</v>
      </c>
      <c r="R18">
        <f t="shared" si="12"/>
        <v>1.8390336019415092</v>
      </c>
      <c r="S18">
        <f t="shared" si="13"/>
        <v>2.2921061262086746</v>
      </c>
      <c r="T18">
        <f t="shared" si="14"/>
        <v>5.672362274801479E-2</v>
      </c>
      <c r="U18">
        <f t="shared" si="4"/>
        <v>87.034025502221397</v>
      </c>
      <c r="V18">
        <f t="shared" si="5"/>
        <v>35.028232883014006</v>
      </c>
      <c r="W18">
        <f t="shared" si="15"/>
        <v>0.21080057114723749</v>
      </c>
      <c r="X18">
        <f t="shared" si="6"/>
        <v>0.18554833037191321</v>
      </c>
      <c r="Y18">
        <f t="shared" si="16"/>
        <v>12.077983045683942</v>
      </c>
      <c r="Z18">
        <f t="shared" si="17"/>
        <v>10.631136226009696</v>
      </c>
      <c r="AA18">
        <f t="shared" si="7"/>
        <v>24.669337414959251</v>
      </c>
      <c r="AB18">
        <f t="shared" si="8"/>
        <v>31.486882848368644</v>
      </c>
      <c r="AC18">
        <f t="shared" si="9"/>
        <v>149.39871358948352</v>
      </c>
      <c r="AD18">
        <f t="shared" si="10"/>
        <v>38.569582917659332</v>
      </c>
      <c r="AE18">
        <f t="shared" si="18"/>
        <v>87.034025502221382</v>
      </c>
      <c r="AF18">
        <f t="shared" si="19"/>
        <v>35.028232883013985</v>
      </c>
      <c r="AG18">
        <f t="shared" si="20"/>
        <v>7.0340255022213682</v>
      </c>
      <c r="AH18">
        <f t="shared" si="21"/>
        <v>0.9235289689526951</v>
      </c>
      <c r="AJ18">
        <v>0</v>
      </c>
      <c r="AK18">
        <v>0</v>
      </c>
    </row>
    <row r="19" spans="1:37" x14ac:dyDescent="0.3">
      <c r="A19">
        <f t="shared" si="24"/>
        <v>9</v>
      </c>
      <c r="B19" cm="1">
        <f t="array" ref="B19">IF(F19&lt;40,INDEX($AH$4:$AH$44,F19)+(A19-INDEX($AG$4:$AG53,F19))*(INDEX($AH$4:$AH$44,F19+1)-INDEX($AH$4:$AH$44,F19))/(INDEX($AG$4:$AG53,F19+1)-INDEX($AG$4:$AG53,F19)),"")</f>
        <v>1.5432540585325945</v>
      </c>
      <c r="F19">
        <f t="shared" si="23"/>
        <v>19</v>
      </c>
      <c r="K19">
        <v>16</v>
      </c>
      <c r="L19">
        <f t="shared" si="22"/>
        <v>0.89115296647575937</v>
      </c>
      <c r="M19">
        <f t="shared" si="0"/>
        <v>138.40158747069194</v>
      </c>
      <c r="N19">
        <f t="shared" si="11"/>
        <v>19154.99941440759</v>
      </c>
      <c r="O19">
        <f t="shared" si="1"/>
        <v>1.7669012359629934</v>
      </c>
      <c r="P19">
        <f t="shared" si="2"/>
        <v>0.22673184580517791</v>
      </c>
      <c r="Q19">
        <f t="shared" si="3"/>
        <v>1.0872761305746761</v>
      </c>
      <c r="R19">
        <f t="shared" si="12"/>
        <v>1.8275846772099391</v>
      </c>
      <c r="S19">
        <f t="shared" si="13"/>
        <v>2.311123128360979</v>
      </c>
      <c r="T19">
        <f t="shared" si="14"/>
        <v>6.0683441246945247E-2</v>
      </c>
      <c r="U19">
        <f t="shared" si="4"/>
        <v>87.490802906923193</v>
      </c>
      <c r="V19">
        <f t="shared" si="5"/>
        <v>34.900151343966371</v>
      </c>
      <c r="W19">
        <f t="shared" si="15"/>
        <v>0.22585775480061154</v>
      </c>
      <c r="X19">
        <f t="shared" si="6"/>
        <v>0.19699725510348332</v>
      </c>
      <c r="Y19">
        <f t="shared" si="16"/>
        <v>12.94069612037565</v>
      </c>
      <c r="Z19">
        <f t="shared" si="17"/>
        <v>11.287111293091611</v>
      </c>
      <c r="AA19">
        <f t="shared" si="7"/>
        <v>25.140626829976277</v>
      </c>
      <c r="AB19">
        <f t="shared" si="8"/>
        <v>31.11187687356513</v>
      </c>
      <c r="AC19">
        <f t="shared" si="9"/>
        <v>149.84097898387014</v>
      </c>
      <c r="AD19">
        <f t="shared" si="10"/>
        <v>38.688425814367683</v>
      </c>
      <c r="AE19">
        <f t="shared" si="18"/>
        <v>87.490802906923207</v>
      </c>
      <c r="AF19">
        <f t="shared" si="19"/>
        <v>34.900151343966407</v>
      </c>
      <c r="AG19">
        <f t="shared" si="20"/>
        <v>7.4908029069231929</v>
      </c>
      <c r="AH19">
        <f t="shared" si="21"/>
        <v>1.0516105080002731</v>
      </c>
      <c r="AJ19" cm="1">
        <f t="array" ref="AJ19">d*COS(INDEX($L$4:$L$44,AJ17))</f>
        <v>27.409486502018062</v>
      </c>
      <c r="AK19" cm="1">
        <f t="array" ref="AK19">d*SIN(INDEX($L$4:$L$44,AJ17))</f>
        <v>29.132800237802229</v>
      </c>
    </row>
    <row r="20" spans="1:37" x14ac:dyDescent="0.3">
      <c r="A20">
        <f t="shared" si="24"/>
        <v>10</v>
      </c>
      <c r="B20" cm="1">
        <f t="array" ref="B20">IF(F20&lt;40,INDEX($AH$4:$AH$44,F20)+(A20-INDEX($AG$4:$AG54,F20))*(INDEX($AH$4:$AH$44,F20+1)-INDEX($AH$4:$AH$44,F20))/(INDEX($AG$4:$AG54,F20+1)-INDEX($AG$4:$AG54,F20)),"")</f>
        <v>1.9290225906678977</v>
      </c>
      <c r="F20">
        <f t="shared" si="23"/>
        <v>21</v>
      </c>
      <c r="K20">
        <v>17</v>
      </c>
      <c r="L20">
        <f t="shared" si="22"/>
        <v>0.87609578282238532</v>
      </c>
      <c r="M20">
        <f t="shared" si="0"/>
        <v>137.86228896930609</v>
      </c>
      <c r="N20">
        <f t="shared" si="11"/>
        <v>19006.010719856455</v>
      </c>
      <c r="O20">
        <f t="shared" si="1"/>
        <v>1.7517250395913082</v>
      </c>
      <c r="P20">
        <f t="shared" si="2"/>
        <v>0.22479063722454384</v>
      </c>
      <c r="Q20">
        <f t="shared" si="3"/>
        <v>1.1004349013608286</v>
      </c>
      <c r="R20">
        <f t="shared" si="12"/>
        <v>1.8163671150044207</v>
      </c>
      <c r="S20">
        <f t="shared" si="13"/>
        <v>2.33013894618052</v>
      </c>
      <c r="T20">
        <f t="shared" si="14"/>
        <v>6.4642075413112288E-2</v>
      </c>
      <c r="U20">
        <f t="shared" si="4"/>
        <v>87.940907686366415</v>
      </c>
      <c r="V20">
        <f t="shared" si="5"/>
        <v>34.764883065732874</v>
      </c>
      <c r="W20">
        <f t="shared" si="15"/>
        <v>0.24091493845398559</v>
      </c>
      <c r="X20">
        <f t="shared" si="6"/>
        <v>0.20821481730900171</v>
      </c>
      <c r="Y20">
        <f t="shared" si="16"/>
        <v>13.803409195067356</v>
      </c>
      <c r="Z20">
        <f t="shared" si="17"/>
        <v>11.92983026389328</v>
      </c>
      <c r="AA20">
        <f t="shared" si="7"/>
        <v>25.606216500448564</v>
      </c>
      <c r="AB20">
        <f t="shared" si="8"/>
        <v>30.729817385271843</v>
      </c>
      <c r="AC20">
        <f t="shared" si="9"/>
        <v>150.27559887228429</v>
      </c>
      <c r="AD20">
        <f t="shared" si="10"/>
        <v>38.799948746193998</v>
      </c>
      <c r="AE20">
        <f t="shared" si="18"/>
        <v>87.94090768636643</v>
      </c>
      <c r="AF20">
        <f t="shared" si="19"/>
        <v>34.764883065732917</v>
      </c>
      <c r="AG20">
        <f t="shared" si="20"/>
        <v>7.9409076863664154</v>
      </c>
      <c r="AH20">
        <f t="shared" si="21"/>
        <v>1.1868787862337626</v>
      </c>
      <c r="AJ20" cm="1">
        <f t="array" ref="AJ20">W+d*COS(INDEX($R$4:$R$44,AJ17))</f>
        <v>151.93524523948832</v>
      </c>
      <c r="AK20" cm="1">
        <f t="array" ref="AK20">d*SIN(INDEX($R$4:$R$44,AJ17))</f>
        <v>39.178562131002259</v>
      </c>
    </row>
    <row r="21" spans="1:37" x14ac:dyDescent="0.3">
      <c r="A21">
        <f t="shared" si="24"/>
        <v>11</v>
      </c>
      <c r="B21" cm="1">
        <f t="array" ref="B21">IF(F21&lt;40,INDEX($AH$4:$AH$44,F21)+(A21-INDEX($AG$4:$AG55,F21))*(INDEX($AH$4:$AH$44,F21+1)-INDEX($AH$4:$AH$44,F21))/(INDEX($AG$4:$AG55,F21+1)-INDEX($AG$4:$AG55,F21)),"")</f>
        <v>2.3689989588502498</v>
      </c>
      <c r="F21">
        <f t="shared" si="23"/>
        <v>24</v>
      </c>
      <c r="K21">
        <v>18</v>
      </c>
      <c r="L21">
        <f t="shared" si="22"/>
        <v>0.86103859916901127</v>
      </c>
      <c r="M21">
        <f t="shared" si="0"/>
        <v>137.327636408177</v>
      </c>
      <c r="N21">
        <f t="shared" si="11"/>
        <v>18858.879721456462</v>
      </c>
      <c r="O21">
        <f t="shared" si="1"/>
        <v>1.7367793228667323</v>
      </c>
      <c r="P21">
        <f t="shared" si="2"/>
        <v>0.222775369189669</v>
      </c>
      <c r="Q21">
        <f t="shared" si="3"/>
        <v>1.1134367351818555</v>
      </c>
      <c r="R21">
        <f t="shared" si="12"/>
        <v>1.8053805492182686</v>
      </c>
      <c r="S21">
        <f t="shared" si="13"/>
        <v>2.3491552807723175</v>
      </c>
      <c r="T21">
        <f t="shared" si="14"/>
        <v>6.8601226351535871E-2</v>
      </c>
      <c r="U21">
        <f t="shared" si="4"/>
        <v>88.384228120382417</v>
      </c>
      <c r="V21">
        <f t="shared" si="5"/>
        <v>34.622616864203493</v>
      </c>
      <c r="W21">
        <f t="shared" si="15"/>
        <v>0.25597212210735965</v>
      </c>
      <c r="X21">
        <f t="shared" si="6"/>
        <v>0.2192013830951538</v>
      </c>
      <c r="Y21">
        <f t="shared" si="16"/>
        <v>14.666122269759063</v>
      </c>
      <c r="Z21">
        <f t="shared" si="17"/>
        <v>12.559314114782623</v>
      </c>
      <c r="AA21">
        <f t="shared" si="7"/>
        <v>26.066000870448555</v>
      </c>
      <c r="AB21">
        <f t="shared" si="8"/>
        <v>30.340791001913168</v>
      </c>
      <c r="AC21">
        <f t="shared" si="9"/>
        <v>150.7024553703163</v>
      </c>
      <c r="AD21">
        <f t="shared" si="10"/>
        <v>38.904442726493841</v>
      </c>
      <c r="AE21">
        <f t="shared" si="18"/>
        <v>88.384228120382431</v>
      </c>
      <c r="AF21">
        <f t="shared" si="19"/>
        <v>34.622616864203508</v>
      </c>
      <c r="AG21">
        <f t="shared" si="20"/>
        <v>8.3842281203824172</v>
      </c>
      <c r="AH21">
        <f t="shared" si="21"/>
        <v>1.329144987763172</v>
      </c>
      <c r="AJ21">
        <f>W</f>
        <v>160</v>
      </c>
      <c r="AK21">
        <v>0</v>
      </c>
    </row>
    <row r="22" spans="1:37" x14ac:dyDescent="0.3">
      <c r="A22">
        <f t="shared" si="24"/>
        <v>12</v>
      </c>
      <c r="B22" cm="1">
        <f t="array" ref="B22">IF(F22&lt;40,INDEX($AH$4:$AH$44,F22)+(A22-INDEX($AG$4:$AG56,F22))*(INDEX($AH$4:$AH$44,F22+1)-INDEX($AH$4:$AH$44,F22))/(INDEX($AG$4:$AG56,F22+1)-INDEX($AG$4:$AG56,F22)),"")</f>
        <v>2.8680862471355697</v>
      </c>
      <c r="F22">
        <f t="shared" si="23"/>
        <v>26</v>
      </c>
      <c r="K22">
        <v>19</v>
      </c>
      <c r="L22">
        <f t="shared" si="22"/>
        <v>0.84598141551563721</v>
      </c>
      <c r="M22">
        <f t="shared" si="0"/>
        <v>136.79780618101216</v>
      </c>
      <c r="N22">
        <f t="shared" si="11"/>
        <v>18713.639775937769</v>
      </c>
      <c r="O22">
        <f t="shared" si="1"/>
        <v>1.722062330425669</v>
      </c>
      <c r="P22">
        <f t="shared" si="2"/>
        <v>0.22068583397965003</v>
      </c>
      <c r="Q22">
        <f t="shared" si="3"/>
        <v>1.1262819593130473</v>
      </c>
      <c r="R22">
        <f t="shared" si="12"/>
        <v>1.7946248602970958</v>
      </c>
      <c r="S22">
        <f t="shared" si="13"/>
        <v>2.3681737679455823</v>
      </c>
      <c r="T22">
        <f t="shared" si="14"/>
        <v>7.2562529871426307E-2</v>
      </c>
      <c r="U22">
        <f t="shared" si="4"/>
        <v>88.820652436775859</v>
      </c>
      <c r="V22">
        <f t="shared" si="5"/>
        <v>34.473538956034659</v>
      </c>
      <c r="W22">
        <f t="shared" si="15"/>
        <v>0.2710293057607337</v>
      </c>
      <c r="X22">
        <f t="shared" si="6"/>
        <v>0.22995707201632665</v>
      </c>
      <c r="Y22">
        <f t="shared" si="16"/>
        <v>15.528835344450771</v>
      </c>
      <c r="Z22">
        <f t="shared" si="17"/>
        <v>13.175569695721444</v>
      </c>
      <c r="AA22">
        <f t="shared" si="7"/>
        <v>26.519875700194472</v>
      </c>
      <c r="AB22">
        <f t="shared" si="8"/>
        <v>29.9448859214096</v>
      </c>
      <c r="AC22">
        <f t="shared" si="9"/>
        <v>151.12142917335726</v>
      </c>
      <c r="AD22">
        <f t="shared" si="10"/>
        <v>39.00219199065981</v>
      </c>
      <c r="AE22">
        <f t="shared" si="18"/>
        <v>88.820652436775859</v>
      </c>
      <c r="AF22">
        <f t="shared" si="19"/>
        <v>34.473538956034702</v>
      </c>
      <c r="AG22">
        <f t="shared" si="20"/>
        <v>8.8206524367758448</v>
      </c>
      <c r="AH22">
        <f t="shared" si="21"/>
        <v>1.4782228959319781</v>
      </c>
    </row>
    <row r="23" spans="1:37" x14ac:dyDescent="0.3">
      <c r="A23">
        <f t="shared" si="24"/>
        <v>13</v>
      </c>
      <c r="B23" cm="1">
        <f t="array" ref="B23">IF(F23&lt;40,INDEX($AH$4:$AH$44,F23)+(A23-INDEX($AG$4:$AG57,F23))*(INDEX($AH$4:$AH$44,F23+1)-INDEX($AH$4:$AH$44,F23))/(INDEX($AG$4:$AG57,F23+1)-INDEX($AG$4:$AG57,F23)),"")</f>
        <v>3.435709941241984</v>
      </c>
      <c r="F23">
        <f t="shared" si="23"/>
        <v>29</v>
      </c>
      <c r="K23">
        <v>20</v>
      </c>
      <c r="L23">
        <f t="shared" si="22"/>
        <v>0.83092423186226316</v>
      </c>
      <c r="M23">
        <f t="shared" si="0"/>
        <v>136.27297535205375</v>
      </c>
      <c r="N23">
        <f t="shared" si="11"/>
        <v>18570.323811301449</v>
      </c>
      <c r="O23">
        <f t="shared" si="1"/>
        <v>1.7075725996416269</v>
      </c>
      <c r="P23">
        <f t="shared" si="2"/>
        <v>0.2185218586215214</v>
      </c>
      <c r="Q23">
        <f t="shared" si="3"/>
        <v>1.1389706348009705</v>
      </c>
      <c r="R23">
        <f t="shared" si="12"/>
        <v>1.7841001601673012</v>
      </c>
      <c r="S23">
        <f t="shared" si="13"/>
        <v>2.3871959822532043</v>
      </c>
      <c r="T23">
        <f t="shared" si="14"/>
        <v>7.6527560525674332E-2</v>
      </c>
      <c r="U23">
        <f t="shared" si="4"/>
        <v>89.250068896014241</v>
      </c>
      <c r="V23">
        <f t="shared" si="5"/>
        <v>34.317833179596512</v>
      </c>
      <c r="W23">
        <f t="shared" si="15"/>
        <v>0.28608648941410775</v>
      </c>
      <c r="X23">
        <f t="shared" si="6"/>
        <v>0.24048177214612121</v>
      </c>
      <c r="Y23">
        <f t="shared" si="16"/>
        <v>16.391548419142477</v>
      </c>
      <c r="Z23">
        <f t="shared" si="17"/>
        <v>13.778590593799462</v>
      </c>
      <c r="AA23">
        <f t="shared" si="7"/>
        <v>26.967738089682967</v>
      </c>
      <c r="AB23">
        <f t="shared" si="8"/>
        <v>29.542191901181987</v>
      </c>
      <c r="AC23">
        <f t="shared" si="9"/>
        <v>151.53239970234554</v>
      </c>
      <c r="AD23">
        <f t="shared" si="10"/>
        <v>39.093474458011045</v>
      </c>
      <c r="AE23">
        <f t="shared" si="18"/>
        <v>89.250068896014255</v>
      </c>
      <c r="AF23">
        <f t="shared" si="19"/>
        <v>34.317833179596519</v>
      </c>
      <c r="AG23">
        <f t="shared" si="20"/>
        <v>9.2500688960142412</v>
      </c>
      <c r="AH23">
        <f t="shared" si="21"/>
        <v>1.6339286723701605</v>
      </c>
    </row>
    <row r="24" spans="1:37" x14ac:dyDescent="0.3">
      <c r="A24">
        <f t="shared" si="24"/>
        <v>14</v>
      </c>
      <c r="B24" cm="1">
        <f t="array" ref="B24">IF(F24&lt;40,INDEX($AH$4:$AH$44,F24)+(A24-INDEX($AG$4:$AG58,F24))*(INDEX($AH$4:$AH$44,F24+1)-INDEX($AH$4:$AH$44,F24))/(INDEX($AG$4:$AG58,F24+1)-INDEX($AG$4:$AG58,F24)),"")</f>
        <v>4.0816392498656215</v>
      </c>
      <c r="F24">
        <f t="shared" si="23"/>
        <v>32</v>
      </c>
      <c r="K24">
        <v>21</v>
      </c>
      <c r="L24">
        <f t="shared" si="22"/>
        <v>0.81586704820888911</v>
      </c>
      <c r="M24">
        <f t="shared" si="0"/>
        <v>135.75332157761085</v>
      </c>
      <c r="N24">
        <f t="shared" si="11"/>
        <v>18428.964319354222</v>
      </c>
      <c r="O24">
        <f t="shared" si="1"/>
        <v>1.6933089431774204</v>
      </c>
      <c r="P24">
        <f t="shared" si="2"/>
        <v>0.21628330639276894</v>
      </c>
      <c r="Q24">
        <f t="shared" si="3"/>
        <v>1.1515025688753187</v>
      </c>
      <c r="R24">
        <f t="shared" si="12"/>
        <v>1.7738067783217055</v>
      </c>
      <c r="S24">
        <f t="shared" si="13"/>
        <v>2.406223440525189</v>
      </c>
      <c r="T24">
        <f t="shared" si="14"/>
        <v>8.0497835144285101E-2</v>
      </c>
      <c r="U24">
        <f t="shared" si="4"/>
        <v>89.672365870753183</v>
      </c>
      <c r="V24">
        <f t="shared" si="5"/>
        <v>34.155681184402212</v>
      </c>
      <c r="W24">
        <f t="shared" si="15"/>
        <v>0.3011436730674818</v>
      </c>
      <c r="X24">
        <f t="shared" si="6"/>
        <v>0.2507751539917169</v>
      </c>
      <c r="Y24">
        <f t="shared" si="16"/>
        <v>17.254261493834186</v>
      </c>
      <c r="Z24">
        <f t="shared" si="17"/>
        <v>14.368357930468678</v>
      </c>
      <c r="AA24">
        <f t="shared" si="7"/>
        <v>27.409486502018062</v>
      </c>
      <c r="AB24">
        <f t="shared" si="8"/>
        <v>29.132800237802229</v>
      </c>
      <c r="AC24">
        <f t="shared" si="9"/>
        <v>151.93524523948832</v>
      </c>
      <c r="AD24">
        <f t="shared" si="10"/>
        <v>39.178562131002259</v>
      </c>
      <c r="AE24">
        <f t="shared" si="18"/>
        <v>89.672365870753197</v>
      </c>
      <c r="AF24">
        <f t="shared" si="19"/>
        <v>34.155681184402241</v>
      </c>
      <c r="AG24">
        <f t="shared" si="20"/>
        <v>9.6723658707531825</v>
      </c>
      <c r="AH24">
        <f t="shared" si="21"/>
        <v>1.7960806675644392</v>
      </c>
    </row>
    <row r="25" spans="1:37" x14ac:dyDescent="0.3">
      <c r="A25">
        <f t="shared" si="24"/>
        <v>15</v>
      </c>
      <c r="B25" cm="1">
        <f t="array" ref="B25">IF(F25&lt;40,INDEX($AH$4:$AH$44,F25)+(A25-INDEX($AG$4:$AG59,F25))*(INDEX($AH$4:$AH$44,F25+1)-INDEX($AH$4:$AH$44,F25))/(INDEX($AG$4:$AG59,F25+1)-INDEX($AG$4:$AG59,F25)),"")</f>
        <v>4.8226052963786241</v>
      </c>
      <c r="F25">
        <f t="shared" si="23"/>
        <v>35</v>
      </c>
      <c r="K25">
        <v>22</v>
      </c>
      <c r="L25">
        <f t="shared" si="22"/>
        <v>0.80080986455551506</v>
      </c>
      <c r="M25">
        <f t="shared" si="0"/>
        <v>135.23902302346787</v>
      </c>
      <c r="N25">
        <f t="shared" si="11"/>
        <v>18289.59334834207</v>
      </c>
      <c r="O25">
        <f t="shared" si="1"/>
        <v>1.6792704329986219</v>
      </c>
      <c r="P25">
        <f t="shared" si="2"/>
        <v>0.21397007833488368</v>
      </c>
      <c r="Q25">
        <f t="shared" si="3"/>
        <v>1.1638773263494229</v>
      </c>
      <c r="R25">
        <f t="shared" si="12"/>
        <v>1.7637452489054866</v>
      </c>
      <c r="S25">
        <f t="shared" si="13"/>
        <v>2.4252576049411432</v>
      </c>
      <c r="T25">
        <f t="shared" si="14"/>
        <v>8.4474815906864897E-2</v>
      </c>
      <c r="U25">
        <f t="shared" si="4"/>
        <v>90.087431921020425</v>
      </c>
      <c r="V25">
        <f t="shared" si="5"/>
        <v>33.987262591796082</v>
      </c>
      <c r="W25">
        <f t="shared" si="15"/>
        <v>0.31620085672085585</v>
      </c>
      <c r="X25">
        <f t="shared" si="6"/>
        <v>0.26083668340793587</v>
      </c>
      <c r="Y25">
        <f t="shared" si="16"/>
        <v>18.11697456852589</v>
      </c>
      <c r="Z25">
        <f t="shared" si="17"/>
        <v>14.944841101464752</v>
      </c>
      <c r="AA25">
        <f t="shared" si="7"/>
        <v>27.845020786431029</v>
      </c>
      <c r="AB25">
        <f t="shared" si="8"/>
        <v>28.716803746295025</v>
      </c>
      <c r="AC25">
        <f t="shared" si="9"/>
        <v>152.32984305560984</v>
      </c>
      <c r="AD25">
        <f t="shared" si="10"/>
        <v>39.257721437297192</v>
      </c>
      <c r="AE25">
        <f t="shared" si="18"/>
        <v>90.087431921020439</v>
      </c>
      <c r="AF25">
        <f t="shared" si="19"/>
        <v>33.98726259179611</v>
      </c>
      <c r="AG25">
        <f t="shared" si="20"/>
        <v>10.087431921020425</v>
      </c>
      <c r="AH25">
        <f t="shared" si="21"/>
        <v>1.9644992601705695</v>
      </c>
    </row>
    <row r="26" spans="1:37" x14ac:dyDescent="0.3">
      <c r="A26">
        <f t="shared" si="24"/>
        <v>16</v>
      </c>
      <c r="B26" cm="1">
        <f t="array" ref="B26">IF(F26&lt;40,INDEX($AH$4:$AH$44,F26)+(A26-INDEX($AG$4:$AG60,F26))*(INDEX($AH$4:$AH$44,F26+1)-INDEX($AH$4:$AH$44,F26))/(INDEX($AG$4:$AG60,F26+1)-INDEX($AG$4:$AG60,F26)),"")</f>
        <v>5.6854674204334543</v>
      </c>
      <c r="F26">
        <f t="shared" si="23"/>
        <v>39</v>
      </c>
      <c r="K26">
        <v>23</v>
      </c>
      <c r="L26">
        <f t="shared" si="22"/>
        <v>0.78575268090214101</v>
      </c>
      <c r="M26">
        <f t="shared" si="0"/>
        <v>134.73025827810349</v>
      </c>
      <c r="N26">
        <f t="shared" si="11"/>
        <v>18152.242495684473</v>
      </c>
      <c r="O26">
        <f t="shared" si="1"/>
        <v>1.6654563856706552</v>
      </c>
      <c r="P26">
        <f t="shared" si="2"/>
        <v>0.21158211477458688</v>
      </c>
      <c r="Q26">
        <f t="shared" si="3"/>
        <v>1.1760942401514669</v>
      </c>
      <c r="R26">
        <f t="shared" si="12"/>
        <v>1.7539162986637393</v>
      </c>
      <c r="S26">
        <f t="shared" si="13"/>
        <v>2.4442998856807359</v>
      </c>
      <c r="T26">
        <f t="shared" si="14"/>
        <v>8.8459912993083645E-2</v>
      </c>
      <c r="U26">
        <f t="shared" si="4"/>
        <v>90.495155865805572</v>
      </c>
      <c r="V26">
        <f t="shared" si="5"/>
        <v>33.812755129302801</v>
      </c>
      <c r="W26">
        <f t="shared" si="15"/>
        <v>0.3312580403742299</v>
      </c>
      <c r="X26">
        <f t="shared" si="6"/>
        <v>0.2706656336496831</v>
      </c>
      <c r="Y26">
        <f t="shared" si="16"/>
        <v>18.979687643217598</v>
      </c>
      <c r="Z26">
        <f t="shared" si="17"/>
        <v>15.507998467360958</v>
      </c>
      <c r="AA26">
        <f t="shared" si="7"/>
        <v>28.274242200986023</v>
      </c>
      <c r="AB26">
        <f t="shared" si="8"/>
        <v>28.294296739095341</v>
      </c>
      <c r="AC26">
        <f t="shared" si="9"/>
        <v>152.71606953062511</v>
      </c>
      <c r="AD26">
        <f t="shared" si="10"/>
        <v>39.331213519510328</v>
      </c>
      <c r="AE26">
        <f t="shared" si="18"/>
        <v>90.495155865805572</v>
      </c>
      <c r="AF26">
        <f t="shared" si="19"/>
        <v>33.812755129302836</v>
      </c>
      <c r="AG26">
        <f t="shared" si="20"/>
        <v>10.495155865805557</v>
      </c>
      <c r="AH26">
        <f t="shared" si="21"/>
        <v>2.1390067226638436</v>
      </c>
    </row>
    <row r="27" spans="1:37" x14ac:dyDescent="0.3">
      <c r="A27">
        <f t="shared" si="24"/>
        <v>17</v>
      </c>
      <c r="B27" t="str" cm="1">
        <f t="array" ref="B27">IF(F27&lt;40,INDEX($AH$4:$AH$44,F27)+(A27-INDEX($AG$4:$AG61,F27))*(INDEX($AH$4:$AH$44,F27+1)-INDEX($AH$4:$AH$44,F27))/(INDEX($AG$4:$AG61,F27+1)-INDEX($AG$4:$AG61,F27)),"")</f>
        <v/>
      </c>
      <c r="F27">
        <f t="shared" si="23"/>
        <v>41</v>
      </c>
      <c r="K27">
        <v>24</v>
      </c>
      <c r="L27">
        <f t="shared" si="22"/>
        <v>0.77069549724876696</v>
      </c>
      <c r="M27">
        <f t="shared" si="0"/>
        <v>134.2272062616621</v>
      </c>
      <c r="N27">
        <f t="shared" si="11"/>
        <v>18016.942900810784</v>
      </c>
      <c r="O27">
        <f t="shared" si="1"/>
        <v>1.6518663487827416</v>
      </c>
      <c r="P27">
        <f t="shared" si="2"/>
        <v>0.20911939684905834</v>
      </c>
      <c r="Q27">
        <f t="shared" si="3"/>
        <v>1.1881524211131247</v>
      </c>
      <c r="R27">
        <f t="shared" si="12"/>
        <v>1.7443208356276101</v>
      </c>
      <c r="S27">
        <f t="shared" si="13"/>
        <v>2.4633516431858951</v>
      </c>
      <c r="T27">
        <f t="shared" si="14"/>
        <v>9.2454486844868899E-2</v>
      </c>
      <c r="U27">
        <f t="shared" si="4"/>
        <v>90.895426851736829</v>
      </c>
      <c r="V27">
        <f t="shared" si="5"/>
        <v>33.632334740727728</v>
      </c>
      <c r="W27">
        <f t="shared" si="15"/>
        <v>0.34631522402760395</v>
      </c>
      <c r="X27">
        <f t="shared" si="6"/>
        <v>0.28026109668581234</v>
      </c>
      <c r="Y27">
        <f t="shared" si="16"/>
        <v>19.842400717909307</v>
      </c>
      <c r="Z27">
        <f t="shared" si="17"/>
        <v>16.057778001804952</v>
      </c>
      <c r="AA27">
        <f t="shared" si="7"/>
        <v>28.697053434966296</v>
      </c>
      <c r="AB27">
        <f t="shared" si="8"/>
        <v>27.865375004666436</v>
      </c>
      <c r="AC27">
        <f t="shared" si="9"/>
        <v>153.09380026850735</v>
      </c>
      <c r="AD27">
        <f t="shared" si="10"/>
        <v>39.399294476788931</v>
      </c>
      <c r="AE27">
        <f t="shared" si="18"/>
        <v>90.895426851736829</v>
      </c>
      <c r="AF27">
        <f t="shared" si="19"/>
        <v>33.632334740727686</v>
      </c>
      <c r="AG27">
        <f t="shared" si="20"/>
        <v>10.895426851736815</v>
      </c>
      <c r="AH27">
        <f t="shared" si="21"/>
        <v>2.3194271112389941</v>
      </c>
    </row>
    <row r="28" spans="1:37" x14ac:dyDescent="0.3">
      <c r="A28">
        <f t="shared" si="24"/>
        <v>18</v>
      </c>
      <c r="B28" t="str" cm="1">
        <f t="array" ref="B28">IF(F28&lt;40,INDEX($AH$4:$AH$44,F28)+(A28-INDEX($AG$4:$AG62,F28))*(INDEX($AH$4:$AH$44,F28+1)-INDEX($AH$4:$AH$44,F28))/(INDEX($AG$4:$AG62,F28+1)-INDEX($AG$4:$AG62,F28)),"")</f>
        <v/>
      </c>
      <c r="F28">
        <f t="shared" si="23"/>
        <v>41</v>
      </c>
      <c r="K28">
        <v>25</v>
      </c>
      <c r="L28">
        <f t="shared" si="22"/>
        <v>0.75563831359539291</v>
      </c>
      <c r="M28">
        <f t="shared" si="0"/>
        <v>133.73004613063023</v>
      </c>
      <c r="N28">
        <f t="shared" si="11"/>
        <v>17883.725238100487</v>
      </c>
      <c r="O28">
        <f t="shared" si="1"/>
        <v>1.6385000883598142</v>
      </c>
      <c r="P28">
        <f t="shared" si="2"/>
        <v>0.20658194803124585</v>
      </c>
      <c r="Q28">
        <f t="shared" si="3"/>
        <v>1.2000507671291607</v>
      </c>
      <c r="R28">
        <f t="shared" si="12"/>
        <v>1.7349599384293866</v>
      </c>
      <c r="S28">
        <f t="shared" si="13"/>
        <v>2.482414190063972</v>
      </c>
      <c r="T28">
        <f t="shared" si="14"/>
        <v>9.6459850069571917E-2</v>
      </c>
      <c r="U28">
        <f t="shared" si="4"/>
        <v>91.28813441947301</v>
      </c>
      <c r="V28">
        <f t="shared" si="5"/>
        <v>33.446175673826374</v>
      </c>
      <c r="W28">
        <f t="shared" si="15"/>
        <v>0.361372407680978</v>
      </c>
      <c r="X28">
        <f t="shared" si="6"/>
        <v>0.28962199388403587</v>
      </c>
      <c r="Y28">
        <f t="shared" si="16"/>
        <v>20.705113792601011</v>
      </c>
      <c r="Z28">
        <f t="shared" si="17"/>
        <v>16.594117903718995</v>
      </c>
      <c r="AA28">
        <f t="shared" si="7"/>
        <v>29.113358630935977</v>
      </c>
      <c r="AB28">
        <f t="shared" si="8"/>
        <v>27.430135785783225</v>
      </c>
      <c r="AC28">
        <f t="shared" si="9"/>
        <v>153.46291020801004</v>
      </c>
      <c r="AD28">
        <f t="shared" si="10"/>
        <v>39.46221556186957</v>
      </c>
      <c r="AE28">
        <f t="shared" si="18"/>
        <v>91.28813441947301</v>
      </c>
      <c r="AF28">
        <f t="shared" si="19"/>
        <v>33.446175673826396</v>
      </c>
      <c r="AG28">
        <f t="shared" si="20"/>
        <v>11.288134419472996</v>
      </c>
      <c r="AH28">
        <f t="shared" si="21"/>
        <v>2.5055861781402839</v>
      </c>
    </row>
    <row r="29" spans="1:37" x14ac:dyDescent="0.3">
      <c r="A29">
        <f t="shared" si="24"/>
        <v>19</v>
      </c>
      <c r="B29" t="str" cm="1">
        <f t="array" ref="B29">IF(F29&lt;40,INDEX($AH$4:$AH$44,F29)+(A29-INDEX($AG$4:$AG63,F29))*(INDEX($AH$4:$AH$44,F29+1)-INDEX($AH$4:$AH$44,F29))/(INDEX($AG$4:$AG63,F29+1)-INDEX($AG$4:$AG63,F29)),"")</f>
        <v/>
      </c>
      <c r="F29">
        <f t="shared" si="23"/>
        <v>41</v>
      </c>
      <c r="K29">
        <v>26</v>
      </c>
      <c r="L29">
        <f t="shared" si="22"/>
        <v>0.74058112994201886</v>
      </c>
      <c r="M29">
        <f t="shared" si="0"/>
        <v>133.23895717817993</v>
      </c>
      <c r="N29">
        <f t="shared" si="11"/>
        <v>17752.619709928866</v>
      </c>
      <c r="O29">
        <f t="shared" si="1"/>
        <v>1.6253575771389224</v>
      </c>
      <c r="P29">
        <f t="shared" si="2"/>
        <v>0.20396983565106908</v>
      </c>
      <c r="Q29">
        <f t="shared" si="3"/>
        <v>1.2117879717902134</v>
      </c>
      <c r="R29">
        <f t="shared" si="12"/>
        <v>1.7258348461485107</v>
      </c>
      <c r="S29">
        <f t="shared" si="13"/>
        <v>2.5014887926573626</v>
      </c>
      <c r="T29">
        <f t="shared" si="14"/>
        <v>0.10047726900958853</v>
      </c>
      <c r="U29">
        <f t="shared" si="4"/>
        <v>91.673168568393521</v>
      </c>
      <c r="V29">
        <f t="shared" si="5"/>
        <v>33.254450547135576</v>
      </c>
      <c r="W29">
        <f t="shared" si="15"/>
        <v>0.37642959133435205</v>
      </c>
      <c r="X29">
        <f t="shared" si="6"/>
        <v>0.29874708616491175</v>
      </c>
      <c r="Y29">
        <f t="shared" si="16"/>
        <v>21.56782686729272</v>
      </c>
      <c r="Z29">
        <f t="shared" si="17"/>
        <v>17.11694717908059</v>
      </c>
      <c r="AA29">
        <f t="shared" si="7"/>
        <v>29.523063406472314</v>
      </c>
      <c r="AB29">
        <f t="shared" si="8"/>
        <v>26.988677757485924</v>
      </c>
      <c r="AC29">
        <f t="shared" si="9"/>
        <v>153.8232737303147</v>
      </c>
      <c r="AD29">
        <f t="shared" si="10"/>
        <v>39.520223336785172</v>
      </c>
      <c r="AE29">
        <f t="shared" si="18"/>
        <v>91.673168568393507</v>
      </c>
      <c r="AF29">
        <f t="shared" si="19"/>
        <v>33.254450547135548</v>
      </c>
      <c r="AG29">
        <f t="shared" si="20"/>
        <v>11.673168568393493</v>
      </c>
      <c r="AH29">
        <f t="shared" si="21"/>
        <v>2.6973113048311319</v>
      </c>
    </row>
    <row r="30" spans="1:37" x14ac:dyDescent="0.3">
      <c r="A30">
        <f t="shared" si="24"/>
        <v>20</v>
      </c>
      <c r="B30" t="str" cm="1">
        <f t="array" ref="B30">IF(F30&lt;40,INDEX($AH$4:$AH$44,F30)+(A30-INDEX($AG$4:$AG64,F30))*(INDEX($AH$4:$AH$44,F30+1)-INDEX($AH$4:$AH$44,F30))/(INDEX($AG$4:$AG64,F30+1)-INDEX($AG$4:$AG64,F30)),"")</f>
        <v/>
      </c>
      <c r="F30">
        <f t="shared" si="23"/>
        <v>41</v>
      </c>
      <c r="K30">
        <v>27</v>
      </c>
      <c r="L30">
        <f t="shared" si="22"/>
        <v>0.72552394628864481</v>
      </c>
      <c r="M30">
        <f t="shared" si="0"/>
        <v>132.75411873015341</v>
      </c>
      <c r="N30">
        <f t="shared" si="11"/>
        <v>17623.656039819667</v>
      </c>
      <c r="O30">
        <f t="shared" si="1"/>
        <v>1.6124389835999977</v>
      </c>
      <c r="P30">
        <f t="shared" si="2"/>
        <v>0.20128317240806903</v>
      </c>
      <c r="Q30">
        <f t="shared" si="3"/>
        <v>1.2233625325811515</v>
      </c>
      <c r="R30">
        <f t="shared" si="12"/>
        <v>1.7169469486005726</v>
      </c>
      <c r="S30">
        <f t="shared" si="13"/>
        <v>2.5205766723017229</v>
      </c>
      <c r="T30">
        <f t="shared" si="14"/>
        <v>0.10450796500057447</v>
      </c>
      <c r="U30">
        <f t="shared" si="4"/>
        <v>92.05041982013212</v>
      </c>
      <c r="V30">
        <f t="shared" si="5"/>
        <v>33.057330397358982</v>
      </c>
      <c r="W30">
        <f t="shared" si="15"/>
        <v>0.3914867749877261</v>
      </c>
      <c r="X30">
        <f t="shared" si="6"/>
        <v>0.30763498371284981</v>
      </c>
      <c r="Y30">
        <f t="shared" si="16"/>
        <v>22.430539941984428</v>
      </c>
      <c r="Z30">
        <f t="shared" si="17"/>
        <v>17.626186197322113</v>
      </c>
      <c r="AA30">
        <f t="shared" si="7"/>
        <v>29.926074875563543</v>
      </c>
      <c r="AB30">
        <f t="shared" si="8"/>
        <v>26.541101004708985</v>
      </c>
      <c r="AC30">
        <f t="shared" si="9"/>
        <v>154.17476476470071</v>
      </c>
      <c r="AD30">
        <f t="shared" si="10"/>
        <v>39.573559790009128</v>
      </c>
      <c r="AE30">
        <f t="shared" si="18"/>
        <v>92.050419820132134</v>
      </c>
      <c r="AF30">
        <f t="shared" si="19"/>
        <v>33.057330397359053</v>
      </c>
      <c r="AG30">
        <f t="shared" si="20"/>
        <v>12.05041982013212</v>
      </c>
      <c r="AH30">
        <f t="shared" si="21"/>
        <v>2.8944314546076271</v>
      </c>
    </row>
    <row r="31" spans="1:37" x14ac:dyDescent="0.3">
      <c r="A31">
        <f t="shared" si="24"/>
        <v>21</v>
      </c>
      <c r="B31" t="str" cm="1">
        <f t="array" ref="B31">IF(F31&lt;40,INDEX($AH$4:$AH$44,F31)+(A31-INDEX($AG$4:$AG65,F31))*(INDEX($AH$4:$AH$44,F31+1)-INDEX($AH$4:$AH$44,F31))/(INDEX($AG$4:$AG65,F31+1)-INDEX($AG$4:$AG65,F31)),"")</f>
        <v/>
      </c>
      <c r="F31">
        <f t="shared" si="23"/>
        <v>41</v>
      </c>
      <c r="K31">
        <v>28</v>
      </c>
      <c r="L31">
        <f t="shared" si="22"/>
        <v>0.71046676263527075</v>
      </c>
      <c r="M31">
        <f t="shared" si="0"/>
        <v>132.27571003667452</v>
      </c>
      <c r="N31">
        <f t="shared" si="11"/>
        <v>17496.863465706399</v>
      </c>
      <c r="O31">
        <f t="shared" si="1"/>
        <v>1.5997446616524393</v>
      </c>
      <c r="P31">
        <f t="shared" si="2"/>
        <v>0.19852211787076635</v>
      </c>
      <c r="Q31">
        <f t="shared" si="3"/>
        <v>1.2347727587288584</v>
      </c>
      <c r="R31">
        <f t="shared" ref="R31:R44" si="25">PI()-Q31-P31</f>
        <v>1.7082977769901684</v>
      </c>
      <c r="S31">
        <f t="shared" ref="S31:S44" si="26">2*PI()-P31-O31-L31-Q31</f>
        <v>2.5396790062922521</v>
      </c>
      <c r="T31">
        <f t="shared" si="14"/>
        <v>0.10855311533772971</v>
      </c>
      <c r="U31">
        <f t="shared" si="4"/>
        <v>92.419779281469332</v>
      </c>
      <c r="V31">
        <f t="shared" si="5"/>
        <v>32.854984708541537</v>
      </c>
      <c r="W31">
        <f t="shared" si="15"/>
        <v>0.40654395864110016</v>
      </c>
      <c r="X31">
        <f t="shared" si="6"/>
        <v>0.31628415532325405</v>
      </c>
      <c r="Y31">
        <f t="shared" si="16"/>
        <v>23.293253016676132</v>
      </c>
      <c r="Z31">
        <f t="shared" si="17"/>
        <v>18.121747226882647</v>
      </c>
      <c r="AA31">
        <f t="shared" si="7"/>
        <v>30.322301669667517</v>
      </c>
      <c r="AB31">
        <f t="shared" si="8"/>
        <v>26.08750699959041</v>
      </c>
      <c r="AC31">
        <f t="shared" si="9"/>
        <v>154.51725689327117</v>
      </c>
      <c r="AD31">
        <f t="shared" si="10"/>
        <v>39.622462417492649</v>
      </c>
      <c r="AE31">
        <f t="shared" si="18"/>
        <v>92.419779281469346</v>
      </c>
      <c r="AF31">
        <f t="shared" si="19"/>
        <v>32.854984708541529</v>
      </c>
      <c r="AG31">
        <f t="shared" si="20"/>
        <v>12.419779281469332</v>
      </c>
      <c r="AH31">
        <f t="shared" si="21"/>
        <v>3.0967771434251503</v>
      </c>
    </row>
    <row r="32" spans="1:37" x14ac:dyDescent="0.3">
      <c r="A32">
        <f t="shared" si="24"/>
        <v>22</v>
      </c>
      <c r="B32" t="str" cm="1">
        <f t="array" ref="B32">IF(F32&lt;40,INDEX($AH$4:$AH$44,F32)+(A32-INDEX($AG$4:$AG66,F32))*(INDEX($AH$4:$AH$44,F32+1)-INDEX($AH$4:$AH$44,F32))/(INDEX($AG$4:$AG66,F32+1)-INDEX($AG$4:$AG66,F32)),"")</f>
        <v/>
      </c>
      <c r="F32">
        <f t="shared" si="23"/>
        <v>41</v>
      </c>
      <c r="K32">
        <v>29</v>
      </c>
      <c r="L32">
        <f t="shared" si="22"/>
        <v>0.6954095789818967</v>
      </c>
      <c r="M32">
        <f t="shared" si="0"/>
        <v>131.80391015938639</v>
      </c>
      <c r="N32">
        <f t="shared" si="11"/>
        <v>17372.270733303598</v>
      </c>
      <c r="O32">
        <f t="shared" si="1"/>
        <v>1.5872751408890724</v>
      </c>
      <c r="P32">
        <f t="shared" si="2"/>
        <v>0.19568687995777756</v>
      </c>
      <c r="Q32">
        <f t="shared" si="3"/>
        <v>1.2460167787758123</v>
      </c>
      <c r="R32">
        <f t="shared" si="25"/>
        <v>1.6998889948562033</v>
      </c>
      <c r="S32">
        <f t="shared" si="26"/>
        <v>2.5587969285750263</v>
      </c>
      <c r="T32">
        <f t="shared" si="14"/>
        <v>0.11261385396712997</v>
      </c>
      <c r="U32">
        <f t="shared" si="4"/>
        <v>92.781138707072145</v>
      </c>
      <c r="V32">
        <f t="shared" si="5"/>
        <v>32.647581424119963</v>
      </c>
      <c r="W32">
        <f t="shared" si="15"/>
        <v>0.42160114229447421</v>
      </c>
      <c r="X32">
        <f t="shared" si="6"/>
        <v>0.32469293745721917</v>
      </c>
      <c r="Y32">
        <f t="shared" si="16"/>
        <v>24.155966091367841</v>
      </c>
      <c r="Z32">
        <f t="shared" si="17"/>
        <v>18.603534954003859</v>
      </c>
      <c r="AA32">
        <f t="shared" si="7"/>
        <v>30.711653958426236</v>
      </c>
      <c r="AB32">
        <f t="shared" si="8"/>
        <v>25.627998578466524</v>
      </c>
      <c r="AC32">
        <f t="shared" si="9"/>
        <v>154.85062345571808</v>
      </c>
      <c r="AD32">
        <f t="shared" si="10"/>
        <v>39.667164269773551</v>
      </c>
      <c r="AE32">
        <f t="shared" si="18"/>
        <v>92.781138707072159</v>
      </c>
      <c r="AF32">
        <f t="shared" si="19"/>
        <v>32.647581424120034</v>
      </c>
      <c r="AG32">
        <f t="shared" si="20"/>
        <v>12.781138707072145</v>
      </c>
      <c r="AH32">
        <f t="shared" si="21"/>
        <v>3.3041804278466458</v>
      </c>
    </row>
    <row r="33" spans="1:34" x14ac:dyDescent="0.3">
      <c r="A33">
        <f t="shared" si="24"/>
        <v>23</v>
      </c>
      <c r="B33" t="str" cm="1">
        <f t="array" ref="B33">IF(F33&lt;40,INDEX($AH$4:$AH$44,F33)+(A33-INDEX($AG$4:$AG67,F33))*(INDEX($AH$4:$AH$44,F33+1)-INDEX($AH$4:$AH$44,F33))/(INDEX($AG$4:$AG67,F33+1)-INDEX($AG$4:$AG67,F33)),"")</f>
        <v/>
      </c>
      <c r="F33">
        <f t="shared" si="23"/>
        <v>41</v>
      </c>
      <c r="K33">
        <v>30</v>
      </c>
      <c r="L33">
        <f t="shared" si="22"/>
        <v>0.68035239532852265</v>
      </c>
      <c r="M33">
        <f t="shared" si="0"/>
        <v>131.33889785432891</v>
      </c>
      <c r="N33">
        <f t="shared" si="11"/>
        <v>17249.906089589844</v>
      </c>
      <c r="O33">
        <f t="shared" si="1"/>
        <v>1.5750311173279348</v>
      </c>
      <c r="P33">
        <f t="shared" si="2"/>
        <v>0.19277771639543695</v>
      </c>
      <c r="Q33">
        <f t="shared" si="3"/>
        <v>1.2570925479491799</v>
      </c>
      <c r="R33">
        <f t="shared" si="25"/>
        <v>1.6917223892451763</v>
      </c>
      <c r="S33">
        <f t="shared" si="26"/>
        <v>2.5779315301785117</v>
      </c>
      <c r="T33">
        <f t="shared" si="14"/>
        <v>0.11669127191724105</v>
      </c>
      <c r="U33">
        <f t="shared" si="4"/>
        <v>93.134390562547992</v>
      </c>
      <c r="V33">
        <f t="shared" si="5"/>
        <v>32.435286942829272</v>
      </c>
      <c r="W33">
        <f t="shared" si="15"/>
        <v>0.43665832594784826</v>
      </c>
      <c r="X33">
        <f t="shared" si="6"/>
        <v>0.33285954306824617</v>
      </c>
      <c r="Y33">
        <f t="shared" si="16"/>
        <v>25.018679166059549</v>
      </c>
      <c r="Z33">
        <f t="shared" si="17"/>
        <v>19.071446988463563</v>
      </c>
      <c r="AA33">
        <f t="shared" si="7"/>
        <v>31.094043470031735</v>
      </c>
      <c r="AB33">
        <f t="shared" si="8"/>
        <v>25.162679918557501</v>
      </c>
      <c r="AC33">
        <f t="shared" si="9"/>
        <v>155.17473765506426</v>
      </c>
      <c r="AD33">
        <f t="shared" si="10"/>
        <v>39.707893967101114</v>
      </c>
      <c r="AE33">
        <f t="shared" si="18"/>
        <v>93.134390562547992</v>
      </c>
      <c r="AF33">
        <f t="shared" si="19"/>
        <v>32.435286942829308</v>
      </c>
      <c r="AG33">
        <f t="shared" si="20"/>
        <v>13.134390562547978</v>
      </c>
      <c r="AH33">
        <f t="shared" si="21"/>
        <v>3.5164749091373722</v>
      </c>
    </row>
    <row r="34" spans="1:34" x14ac:dyDescent="0.3">
      <c r="A34">
        <f t="shared" si="24"/>
        <v>24</v>
      </c>
      <c r="B34" t="str" cm="1">
        <f t="array" ref="B34">IF(F34&lt;40,INDEX($AH$4:$AH$44,F34)+(A34-INDEX($AG$4:$AG68,F34))*(INDEX($AH$4:$AH$44,F34+1)-INDEX($AH$4:$AH$44,F34))/(INDEX($AG$4:$AG68,F34+1)-INDEX($AG$4:$AG68,F34)),"")</f>
        <v/>
      </c>
      <c r="F34">
        <f t="shared" si="23"/>
        <v>41</v>
      </c>
      <c r="K34">
        <v>31</v>
      </c>
      <c r="L34">
        <f t="shared" si="22"/>
        <v>0.6652952116751486</v>
      </c>
      <c r="M34">
        <f t="shared" si="0"/>
        <v>130.88085145048402</v>
      </c>
      <c r="N34">
        <f t="shared" si="11"/>
        <v>17129.797276403664</v>
      </c>
      <c r="O34">
        <f t="shared" si="1"/>
        <v>1.5630134445701065</v>
      </c>
      <c r="P34">
        <f t="shared" si="2"/>
        <v>0.18979493614646392</v>
      </c>
      <c r="Q34">
        <f t="shared" si="3"/>
        <v>1.2679978553893003</v>
      </c>
      <c r="R34">
        <f t="shared" si="25"/>
        <v>1.6837998620540289</v>
      </c>
      <c r="S34">
        <f t="shared" si="26"/>
        <v>2.5970838593985661</v>
      </c>
      <c r="T34">
        <f t="shared" si="14"/>
        <v>0.12078641748392149</v>
      </c>
      <c r="U34">
        <f t="shared" si="4"/>
        <v>93.479428088262608</v>
      </c>
      <c r="V34">
        <f t="shared" si="5"/>
        <v>32.218266099339161</v>
      </c>
      <c r="W34">
        <f t="shared" si="15"/>
        <v>0.45171550960122231</v>
      </c>
      <c r="X34">
        <f t="shared" si="6"/>
        <v>0.34078207025939355</v>
      </c>
      <c r="Y34">
        <f t="shared" si="16"/>
        <v>25.881392240751254</v>
      </c>
      <c r="Z34">
        <f t="shared" si="17"/>
        <v>19.525374359593943</v>
      </c>
      <c r="AA34">
        <f t="shared" si="7"/>
        <v>31.469383511238554</v>
      </c>
      <c r="AB34">
        <f t="shared" si="8"/>
        <v>24.691656514348871</v>
      </c>
      <c r="AC34">
        <f t="shared" si="9"/>
        <v>155.48947266528666</v>
      </c>
      <c r="AD34">
        <f t="shared" si="10"/>
        <v>39.744875684329465</v>
      </c>
      <c r="AE34">
        <f t="shared" si="18"/>
        <v>93.479428088262608</v>
      </c>
      <c r="AF34">
        <f t="shared" si="19"/>
        <v>32.218266099339168</v>
      </c>
      <c r="AG34">
        <f t="shared" si="20"/>
        <v>13.479428088262594</v>
      </c>
      <c r="AH34">
        <f t="shared" si="21"/>
        <v>3.7334957526275119</v>
      </c>
    </row>
    <row r="35" spans="1:34" x14ac:dyDescent="0.3">
      <c r="A35">
        <f t="shared" si="24"/>
        <v>25</v>
      </c>
      <c r="B35" t="str" cm="1">
        <f t="array" ref="B35">IF(F35&lt;40,INDEX($AH$4:$AH$44,F35)+(A35-INDEX($AG$4:$AG69,F35))*(INDEX($AH$4:$AH$44,F35+1)-INDEX($AH$4:$AH$44,F35))/(INDEX($AG$4:$AG69,F35+1)-INDEX($AG$4:$AG69,F35)),"")</f>
        <v/>
      </c>
      <c r="F35">
        <f t="shared" si="23"/>
        <v>41</v>
      </c>
      <c r="K35">
        <v>32</v>
      </c>
      <c r="L35">
        <f t="shared" si="22"/>
        <v>0.65023802802177455</v>
      </c>
      <c r="M35">
        <f t="shared" si="0"/>
        <v>130.42994872403395</v>
      </c>
      <c r="N35">
        <f t="shared" si="11"/>
        <v>17011.971524154123</v>
      </c>
      <c r="O35">
        <f t="shared" si="1"/>
        <v>1.5512231253087962</v>
      </c>
      <c r="P35">
        <f t="shared" si="2"/>
        <v>0.18673890080397748</v>
      </c>
      <c r="Q35">
        <f t="shared" si="3"/>
        <v>1.2787303312960439</v>
      </c>
      <c r="R35">
        <f t="shared" si="25"/>
        <v>1.6761234214897718</v>
      </c>
      <c r="S35">
        <f t="shared" si="26"/>
        <v>2.6162549217489941</v>
      </c>
      <c r="T35">
        <f t="shared" si="14"/>
        <v>0.12490029618097553</v>
      </c>
      <c r="U35">
        <f t="shared" si="4"/>
        <v>93.816145364354355</v>
      </c>
      <c r="V35">
        <f t="shared" si="5"/>
        <v>31.996682130424318</v>
      </c>
      <c r="W35">
        <f t="shared" si="15"/>
        <v>0.46677269325459636</v>
      </c>
      <c r="X35">
        <f t="shared" si="6"/>
        <v>0.34845851082365065</v>
      </c>
      <c r="Y35">
        <f t="shared" si="16"/>
        <v>26.744105315442962</v>
      </c>
      <c r="Z35">
        <f t="shared" si="17"/>
        <v>19.965202005608898</v>
      </c>
      <c r="AA35">
        <f t="shared" si="7"/>
        <v>31.837588987018364</v>
      </c>
      <c r="AB35">
        <f t="shared" si="8"/>
        <v>24.2150351536744</v>
      </c>
      <c r="AC35">
        <f t="shared" si="9"/>
        <v>155.79470174169035</v>
      </c>
      <c r="AD35">
        <f t="shared" si="10"/>
        <v>39.778329107174144</v>
      </c>
      <c r="AE35">
        <f t="shared" si="18"/>
        <v>93.816145364354355</v>
      </c>
      <c r="AF35">
        <f t="shared" si="19"/>
        <v>31.996682130424272</v>
      </c>
      <c r="AG35">
        <f t="shared" si="20"/>
        <v>13.816145364354341</v>
      </c>
      <c r="AH35">
        <f t="shared" si="21"/>
        <v>3.9550797215424076</v>
      </c>
    </row>
    <row r="36" spans="1:34" x14ac:dyDescent="0.3">
      <c r="A36">
        <f t="shared" si="24"/>
        <v>26</v>
      </c>
      <c r="B36" t="str" cm="1">
        <f t="array" ref="B36">IF(F36&lt;40,INDEX($AH$4:$AH$44,F36)+(A36-INDEX($AG$4:$AG70,F36))*(INDEX($AH$4:$AH$44,F36+1)-INDEX($AH$4:$AH$44,F36))/(INDEX($AG$4:$AG70,F36+1)-INDEX($AG$4:$AG70,F36)),"")</f>
        <v/>
      </c>
      <c r="F36">
        <f t="shared" si="23"/>
        <v>41</v>
      </c>
      <c r="K36">
        <v>33</v>
      </c>
      <c r="L36">
        <f t="shared" si="22"/>
        <v>0.6351808443684005</v>
      </c>
      <c r="M36">
        <f t="shared" si="0"/>
        <v>129.98636676839337</v>
      </c>
      <c r="N36">
        <f t="shared" si="11"/>
        <v>16896.455545647281</v>
      </c>
      <c r="O36">
        <f t="shared" si="1"/>
        <v>1.5396613031310227</v>
      </c>
      <c r="P36">
        <f t="shared" si="2"/>
        <v>0.18361002594492937</v>
      </c>
      <c r="Q36">
        <f t="shared" si="3"/>
        <v>1.2892874540467496</v>
      </c>
      <c r="R36">
        <f t="shared" si="25"/>
        <v>1.6686951735981141</v>
      </c>
      <c r="S36">
        <f t="shared" si="26"/>
        <v>2.6354456796884831</v>
      </c>
      <c r="T36">
        <f t="shared" si="14"/>
        <v>0.12903387046709058</v>
      </c>
      <c r="U36">
        <f t="shared" si="4"/>
        <v>94.14443737736562</v>
      </c>
      <c r="V36">
        <f t="shared" si="5"/>
        <v>31.770696627404014</v>
      </c>
      <c r="W36">
        <f t="shared" si="15"/>
        <v>0.48182987690797041</v>
      </c>
      <c r="X36">
        <f t="shared" si="6"/>
        <v>0.35588675871530828</v>
      </c>
      <c r="Y36">
        <f t="shared" si="16"/>
        <v>27.60681839013467</v>
      </c>
      <c r="Z36">
        <f t="shared" si="17"/>
        <v>20.390809258977832</v>
      </c>
      <c r="AA36">
        <f t="shared" si="7"/>
        <v>32.198576419852245</v>
      </c>
      <c r="AB36">
        <f t="shared" si="8"/>
        <v>23.732923893505724</v>
      </c>
      <c r="AC36">
        <f t="shared" si="9"/>
        <v>156.09029833487898</v>
      </c>
      <c r="AD36">
        <f t="shared" si="10"/>
        <v>39.808469361302372</v>
      </c>
      <c r="AE36">
        <f t="shared" si="18"/>
        <v>94.14443737736562</v>
      </c>
      <c r="AF36">
        <f t="shared" si="19"/>
        <v>31.77069662740405</v>
      </c>
      <c r="AG36">
        <f t="shared" si="20"/>
        <v>14.144437377365605</v>
      </c>
      <c r="AH36">
        <f t="shared" si="21"/>
        <v>4.1810652245626301</v>
      </c>
    </row>
    <row r="37" spans="1:34" x14ac:dyDescent="0.3">
      <c r="A37">
        <f t="shared" si="24"/>
        <v>27</v>
      </c>
      <c r="B37" t="str" cm="1">
        <f t="array" ref="B37">IF(F37&lt;40,INDEX($AH$4:$AH$44,F37)+(A37-INDEX($AG$4:$AG71,F37))*(INDEX($AH$4:$AH$44,F37+1)-INDEX($AH$4:$AH$44,F37))/(INDEX($AG$4:$AG71,F37+1)-INDEX($AG$4:$AG71,F37)),"")</f>
        <v/>
      </c>
      <c r="F37">
        <f t="shared" si="23"/>
        <v>41</v>
      </c>
      <c r="K37">
        <v>34</v>
      </c>
      <c r="L37">
        <f t="shared" si="22"/>
        <v>0.62012366071502645</v>
      </c>
      <c r="M37">
        <f t="shared" si="0"/>
        <v>129.55028186009477</v>
      </c>
      <c r="N37">
        <f t="shared" si="11"/>
        <v>16783.275530030001</v>
      </c>
      <c r="O37">
        <f t="shared" si="1"/>
        <v>1.5283292545588434</v>
      </c>
      <c r="P37">
        <f t="shared" si="2"/>
        <v>0.18040878243684633</v>
      </c>
      <c r="Q37">
        <f t="shared" si="3"/>
        <v>1.2996665573349357</v>
      </c>
      <c r="R37">
        <f t="shared" si="25"/>
        <v>1.661517313818011</v>
      </c>
      <c r="S37">
        <f t="shared" si="26"/>
        <v>2.6546570521339348</v>
      </c>
      <c r="T37">
        <f t="shared" si="14"/>
        <v>0.13318805925916788</v>
      </c>
      <c r="U37">
        <f t="shared" si="4"/>
        <v>94.46420008889811</v>
      </c>
      <c r="V37">
        <f t="shared" si="5"/>
        <v>31.540469475542771</v>
      </c>
      <c r="W37">
        <f t="shared" si="15"/>
        <v>0.49688706056134446</v>
      </c>
      <c r="X37">
        <f t="shared" si="6"/>
        <v>0.36306461849541138</v>
      </c>
      <c r="Y37">
        <f t="shared" si="16"/>
        <v>28.469531464826375</v>
      </c>
      <c r="Z37">
        <f t="shared" si="17"/>
        <v>20.802070330314439</v>
      </c>
      <c r="AA37">
        <f t="shared" si="7"/>
        <v>32.552263968656241</v>
      </c>
      <c r="AB37">
        <f t="shared" si="8"/>
        <v>23.245432035454293</v>
      </c>
      <c r="AC37">
        <f t="shared" si="9"/>
        <v>156.37613620913996</v>
      </c>
      <c r="AD37">
        <f t="shared" si="10"/>
        <v>39.835506915631107</v>
      </c>
      <c r="AE37">
        <f t="shared" si="18"/>
        <v>94.464200088898096</v>
      </c>
      <c r="AF37">
        <f t="shared" si="19"/>
        <v>31.5404694755427</v>
      </c>
      <c r="AG37">
        <f t="shared" si="20"/>
        <v>14.464200088898082</v>
      </c>
      <c r="AH37">
        <f t="shared" si="21"/>
        <v>4.4112923764239795</v>
      </c>
    </row>
    <row r="38" spans="1:34" x14ac:dyDescent="0.3">
      <c r="A38">
        <f t="shared" si="24"/>
        <v>28</v>
      </c>
      <c r="B38" t="str" cm="1">
        <f t="array" ref="B38">IF(F38&lt;40,INDEX($AH$4:$AH$44,F38)+(A38-INDEX($AG$4:$AG72,F38))*(INDEX($AH$4:$AH$44,F38+1)-INDEX($AH$4:$AH$44,F38))/(INDEX($AG$4:$AG72,F38+1)-INDEX($AG$4:$AG72,F38)),"")</f>
        <v/>
      </c>
      <c r="F38">
        <f t="shared" si="23"/>
        <v>41</v>
      </c>
      <c r="K38">
        <v>35</v>
      </c>
      <c r="L38">
        <f t="shared" si="22"/>
        <v>0.6050664770616524</v>
      </c>
      <c r="M38">
        <f t="shared" si="0"/>
        <v>129.12186932062477</v>
      </c>
      <c r="N38">
        <f t="shared" si="11"/>
        <v>16672.457136852499</v>
      </c>
      <c r="O38">
        <f t="shared" si="1"/>
        <v>1.5172283812821161</v>
      </c>
      <c r="P38">
        <f t="shared" si="2"/>
        <v>0.17713569769158988</v>
      </c>
      <c r="Q38">
        <f t="shared" si="3"/>
        <v>1.3098648373747901</v>
      </c>
      <c r="R38">
        <f t="shared" si="25"/>
        <v>1.6545921185234131</v>
      </c>
      <c r="S38">
        <f t="shared" si="26"/>
        <v>2.6738899137694379</v>
      </c>
      <c r="T38">
        <f t="shared" si="14"/>
        <v>0.13736373724129702</v>
      </c>
      <c r="U38">
        <f t="shared" si="4"/>
        <v>94.775330506689016</v>
      </c>
      <c r="V38">
        <f t="shared" si="5"/>
        <v>31.306158781064447</v>
      </c>
      <c r="W38">
        <f t="shared" si="15"/>
        <v>0.51194424421471851</v>
      </c>
      <c r="X38">
        <f t="shared" si="6"/>
        <v>0.36998981379000928</v>
      </c>
      <c r="Y38">
        <f t="shared" si="16"/>
        <v>29.332244539518083</v>
      </c>
      <c r="Z38">
        <f t="shared" si="17"/>
        <v>21.198854792998759</v>
      </c>
      <c r="AA38">
        <f t="shared" si="7"/>
        <v>32.898571447335932</v>
      </c>
      <c r="AB38">
        <f t="shared" si="8"/>
        <v>22.752670100991068</v>
      </c>
      <c r="AC38">
        <f t="shared" si="9"/>
        <v>156.65208956604215</v>
      </c>
      <c r="AD38">
        <f t="shared" si="10"/>
        <v>39.859647461137882</v>
      </c>
      <c r="AE38">
        <f t="shared" si="18"/>
        <v>94.775330506689045</v>
      </c>
      <c r="AF38">
        <f t="shared" si="19"/>
        <v>31.306158781064475</v>
      </c>
      <c r="AG38">
        <f t="shared" si="20"/>
        <v>14.775330506689031</v>
      </c>
      <c r="AH38">
        <f t="shared" si="21"/>
        <v>4.6456030709022045</v>
      </c>
    </row>
    <row r="39" spans="1:34" x14ac:dyDescent="0.3">
      <c r="A39">
        <f t="shared" si="24"/>
        <v>29</v>
      </c>
      <c r="B39" t="str" cm="1">
        <f t="array" ref="B39">IF(F39&lt;40,INDEX($AH$4:$AH$44,F39)+(A39-INDEX($AG$4:$AG73,F39))*(INDEX($AH$4:$AH$44,F39+1)-INDEX($AH$4:$AH$44,F39))/(INDEX($AG$4:$AG73,F39+1)-INDEX($AG$4:$AG73,F39)),"")</f>
        <v/>
      </c>
      <c r="F39">
        <f t="shared" si="23"/>
        <v>41</v>
      </c>
      <c r="K39">
        <v>36</v>
      </c>
      <c r="L39">
        <f t="shared" si="22"/>
        <v>0.59000929340827835</v>
      </c>
      <c r="M39">
        <f t="shared" si="0"/>
        <v>128.70130337432855</v>
      </c>
      <c r="N39">
        <f t="shared" si="11"/>
        <v>16564.025490250951</v>
      </c>
      <c r="O39">
        <f t="shared" si="1"/>
        <v>1.5063602025394158</v>
      </c>
      <c r="P39">
        <f t="shared" si="2"/>
        <v>0.17379135685965164</v>
      </c>
      <c r="Q39">
        <f t="shared" si="3"/>
        <v>1.3198793602124701</v>
      </c>
      <c r="R39">
        <f t="shared" si="25"/>
        <v>1.6479219365176714</v>
      </c>
      <c r="S39">
        <f t="shared" si="26"/>
        <v>2.6931450941597701</v>
      </c>
      <c r="T39">
        <f t="shared" si="14"/>
        <v>0.14156173397825533</v>
      </c>
      <c r="U39">
        <f t="shared" si="4"/>
        <v>95.077726758492091</v>
      </c>
      <c r="V39">
        <f t="shared" si="5"/>
        <v>31.067920786416963</v>
      </c>
      <c r="W39">
        <f t="shared" si="15"/>
        <v>0.52700142786809256</v>
      </c>
      <c r="X39">
        <f t="shared" si="6"/>
        <v>0.37665999579575105</v>
      </c>
      <c r="Y39">
        <f t="shared" si="16"/>
        <v>30.194957614209791</v>
      </c>
      <c r="Z39">
        <f t="shared" si="17"/>
        <v>21.581028070511866</v>
      </c>
      <c r="AA39">
        <f t="shared" si="7"/>
        <v>33.237420342965777</v>
      </c>
      <c r="AB39">
        <f t="shared" si="8"/>
        <v>22.254749806389754</v>
      </c>
      <c r="AC39">
        <f t="shared" si="9"/>
        <v>156.9180331740184</v>
      </c>
      <c r="AD39">
        <f t="shared" si="10"/>
        <v>39.881091766444271</v>
      </c>
      <c r="AE39">
        <f t="shared" si="18"/>
        <v>95.077726758492091</v>
      </c>
      <c r="AF39">
        <f t="shared" si="19"/>
        <v>31.067920786417012</v>
      </c>
      <c r="AG39">
        <f t="shared" si="20"/>
        <v>15.077726758492076</v>
      </c>
      <c r="AH39">
        <f t="shared" si="21"/>
        <v>4.8838410655496673</v>
      </c>
    </row>
    <row r="40" spans="1:34" x14ac:dyDescent="0.3">
      <c r="A40">
        <f t="shared" si="24"/>
        <v>30</v>
      </c>
      <c r="B40" t="str" cm="1">
        <f t="array" ref="B40">IF(F40&lt;40,INDEX($AH$4:$AH$44,F40)+(A40-INDEX($AG$4:$AG74,F40))*(INDEX($AH$4:$AH$44,F40+1)-INDEX($AH$4:$AH$44,F40))/(INDEX($AG$4:$AG74,F40+1)-INDEX($AG$4:$AG74,F40)),"")</f>
        <v/>
      </c>
      <c r="F40">
        <f t="shared" si="23"/>
        <v>41</v>
      </c>
      <c r="K40">
        <v>37</v>
      </c>
      <c r="L40">
        <f t="shared" si="22"/>
        <v>0.57495210975490429</v>
      </c>
      <c r="M40">
        <f t="shared" si="0"/>
        <v>128.28875700251945</v>
      </c>
      <c r="N40">
        <f t="shared" si="11"/>
        <v>16458.005173251484</v>
      </c>
      <c r="O40">
        <f t="shared" si="1"/>
        <v>1.495726347608004</v>
      </c>
      <c r="P40">
        <f t="shared" si="2"/>
        <v>0.170376403958441</v>
      </c>
      <c r="Q40">
        <f t="shared" si="3"/>
        <v>1.3297070691813961</v>
      </c>
      <c r="R40">
        <f t="shared" si="25"/>
        <v>1.641509180449956</v>
      </c>
      <c r="S40">
        <f t="shared" si="26"/>
        <v>2.7124233766768406</v>
      </c>
      <c r="T40">
        <f t="shared" si="14"/>
        <v>0.14578283284195193</v>
      </c>
      <c r="U40">
        <f t="shared" si="4"/>
        <v>95.371288169137458</v>
      </c>
      <c r="V40">
        <f t="shared" si="5"/>
        <v>30.825909774403939</v>
      </c>
      <c r="W40">
        <f t="shared" si="15"/>
        <v>0.54205861152146662</v>
      </c>
      <c r="X40">
        <f t="shared" si="6"/>
        <v>0.38307275186346645</v>
      </c>
      <c r="Y40">
        <f t="shared" si="16"/>
        <v>31.057670688901496</v>
      </c>
      <c r="Z40">
        <f t="shared" si="17"/>
        <v>21.948451928238871</v>
      </c>
      <c r="AA40">
        <f t="shared" si="7"/>
        <v>33.568733833589121</v>
      </c>
      <c r="AB40">
        <f t="shared" si="8"/>
        <v>21.751784037399066</v>
      </c>
      <c r="AC40">
        <f t="shared" si="9"/>
        <v>157.17384250468578</v>
      </c>
      <c r="AD40">
        <f t="shared" si="10"/>
        <v>39.900035511408745</v>
      </c>
      <c r="AE40">
        <f t="shared" si="18"/>
        <v>95.371288169137443</v>
      </c>
      <c r="AF40">
        <f t="shared" si="19"/>
        <v>30.825909774403904</v>
      </c>
      <c r="AG40">
        <f t="shared" si="20"/>
        <v>15.371288169137429</v>
      </c>
      <c r="AH40">
        <f t="shared" si="21"/>
        <v>5.1258520775627758</v>
      </c>
    </row>
    <row r="41" spans="1:34" x14ac:dyDescent="0.3">
      <c r="A41">
        <f t="shared" si="24"/>
        <v>31</v>
      </c>
      <c r="B41" t="str" cm="1">
        <f t="array" ref="B41">IF(F41&lt;40,INDEX($AH$4:$AH$44,F41)+(A41-INDEX($AG$4:$AG75,F41))*(INDEX($AH$4:$AH$44,F41+1)-INDEX($AH$4:$AH$44,F41))/(INDEX($AG$4:$AG75,F41+1)-INDEX($AG$4:$AG75,F41)),"")</f>
        <v/>
      </c>
      <c r="F41">
        <f t="shared" si="23"/>
        <v>41</v>
      </c>
      <c r="K41">
        <v>38</v>
      </c>
      <c r="L41">
        <f t="shared" si="22"/>
        <v>0.55989492610153024</v>
      </c>
      <c r="M41">
        <f t="shared" si="0"/>
        <v>127.88440179395154</v>
      </c>
      <c r="N41">
        <f t="shared" si="11"/>
        <v>16354.420222196835</v>
      </c>
      <c r="O41">
        <f t="shared" si="1"/>
        <v>1.4853285483677532</v>
      </c>
      <c r="P41">
        <f t="shared" si="2"/>
        <v>0.16689154292784036</v>
      </c>
      <c r="Q41">
        <f t="shared" si="3"/>
        <v>1.3393447925349689</v>
      </c>
      <c r="R41">
        <f t="shared" si="25"/>
        <v>1.6353563181269839</v>
      </c>
      <c r="S41">
        <f t="shared" si="26"/>
        <v>2.7317254972474938</v>
      </c>
      <c r="T41">
        <f t="shared" si="14"/>
        <v>0.15002776975923116</v>
      </c>
      <c r="U41">
        <f t="shared" si="4"/>
        <v>95.655915341131248</v>
      </c>
      <c r="V41">
        <f t="shared" si="5"/>
        <v>30.580277961806964</v>
      </c>
      <c r="W41">
        <f t="shared" si="15"/>
        <v>0.55711579517484067</v>
      </c>
      <c r="X41">
        <f t="shared" si="6"/>
        <v>0.38922561418643853</v>
      </c>
      <c r="Y41">
        <f t="shared" si="16"/>
        <v>31.920383763593204</v>
      </c>
      <c r="Z41">
        <f t="shared" si="17"/>
        <v>22.300984971270228</v>
      </c>
      <c r="AA41">
        <f t="shared" si="7"/>
        <v>33.89243680563488</v>
      </c>
      <c r="AB41">
        <f t="shared" si="8"/>
        <v>21.243886823649905</v>
      </c>
      <c r="AC41">
        <f t="shared" si="9"/>
        <v>157.41939387662762</v>
      </c>
      <c r="AD41">
        <f t="shared" si="10"/>
        <v>39.916669099963904</v>
      </c>
      <c r="AE41">
        <f t="shared" si="18"/>
        <v>95.655915341131248</v>
      </c>
      <c r="AF41">
        <f t="shared" si="19"/>
        <v>30.580277961806907</v>
      </c>
      <c r="AG41">
        <f t="shared" si="20"/>
        <v>15.655915341131234</v>
      </c>
      <c r="AH41">
        <f t="shared" si="21"/>
        <v>5.371483890159773</v>
      </c>
    </row>
    <row r="42" spans="1:34" x14ac:dyDescent="0.3">
      <c r="A42">
        <f t="shared" si="24"/>
        <v>32</v>
      </c>
      <c r="B42" t="str" cm="1">
        <f t="array" ref="B42">IF(F42&lt;40,INDEX($AH$4:$AH$44,F42)+(A42-INDEX($AG$4:$AG76,F42))*(INDEX($AH$4:$AH$44,F42+1)-INDEX($AH$4:$AH$44,F42))/(INDEX($AG$4:$AG76,F42+1)-INDEX($AG$4:$AG76,F42)),"")</f>
        <v/>
      </c>
      <c r="F42">
        <f t="shared" si="23"/>
        <v>41</v>
      </c>
      <c r="K42">
        <v>39</v>
      </c>
      <c r="L42">
        <f t="shared" si="22"/>
        <v>0.54483774244815619</v>
      </c>
      <c r="M42">
        <f t="shared" si="0"/>
        <v>127.48840779183421</v>
      </c>
      <c r="N42">
        <f t="shared" si="11"/>
        <v>16253.294121297013</v>
      </c>
      <c r="O42">
        <f t="shared" si="1"/>
        <v>1.4751686319077106</v>
      </c>
      <c r="P42">
        <f t="shared" si="2"/>
        <v>0.16333753860627409</v>
      </c>
      <c r="Q42">
        <f t="shared" si="3"/>
        <v>1.348789251286419</v>
      </c>
      <c r="R42">
        <f t="shared" si="25"/>
        <v>1.6294658636971</v>
      </c>
      <c r="S42">
        <f t="shared" si="26"/>
        <v>2.7510521429310257</v>
      </c>
      <c r="T42">
        <f t="shared" si="14"/>
        <v>0.1542972317893887</v>
      </c>
      <c r="U42">
        <f t="shared" si="4"/>
        <v>95.931510239141971</v>
      </c>
      <c r="V42">
        <f t="shared" si="5"/>
        <v>30.331175383126144</v>
      </c>
      <c r="W42">
        <f t="shared" si="15"/>
        <v>0.57217297882821472</v>
      </c>
      <c r="X42">
        <f t="shared" si="6"/>
        <v>0.39511606861632242</v>
      </c>
      <c r="Y42">
        <f t="shared" si="16"/>
        <v>32.783096838284912</v>
      </c>
      <c r="Z42">
        <f t="shared" si="17"/>
        <v>22.638483149516716</v>
      </c>
      <c r="AA42">
        <f t="shared" si="7"/>
        <v>34.208455870946835</v>
      </c>
      <c r="AB42">
        <f t="shared" si="8"/>
        <v>20.731173312803179</v>
      </c>
      <c r="AC42">
        <f t="shared" si="9"/>
        <v>157.65456460733711</v>
      </c>
      <c r="AD42">
        <f t="shared" si="10"/>
        <v>39.931177453449131</v>
      </c>
      <c r="AE42">
        <f t="shared" si="18"/>
        <v>95.931510239141971</v>
      </c>
      <c r="AF42">
        <f t="shared" si="19"/>
        <v>30.331175383126155</v>
      </c>
      <c r="AG42">
        <f t="shared" si="20"/>
        <v>15.931510239141957</v>
      </c>
      <c r="AH42">
        <f t="shared" si="21"/>
        <v>5.6205864688405249</v>
      </c>
    </row>
    <row r="43" spans="1:34" x14ac:dyDescent="0.3">
      <c r="A43">
        <f t="shared" si="24"/>
        <v>33</v>
      </c>
      <c r="B43" t="str" cm="1">
        <f t="array" ref="B43">IF(F43&lt;40,INDEX($AH$4:$AH$44,F43)+(A43-INDEX($AG$4:$AG77,F43))*(INDEX($AH$4:$AH$44,F43+1)-INDEX($AH$4:$AH$44,F43))/(INDEX($AG$4:$AG77,F43+1)-INDEX($AG$4:$AG77,F43)),"")</f>
        <v/>
      </c>
      <c r="F43">
        <f t="shared" si="23"/>
        <v>41</v>
      </c>
      <c r="K43">
        <v>40</v>
      </c>
      <c r="L43">
        <f t="shared" si="22"/>
        <v>0.52978055879478214</v>
      </c>
      <c r="M43">
        <f t="shared" si="0"/>
        <v>127.10094333758902</v>
      </c>
      <c r="N43">
        <f t="shared" si="11"/>
        <v>16154.649797305014</v>
      </c>
      <c r="O43">
        <f t="shared" si="1"/>
        <v>1.4652485131475717</v>
      </c>
      <c r="P43">
        <f t="shared" si="2"/>
        <v>0.15971521762050767</v>
      </c>
      <c r="Q43">
        <f t="shared" si="3"/>
        <v>1.3580370672817896</v>
      </c>
      <c r="R43">
        <f t="shared" si="25"/>
        <v>1.6238403686874958</v>
      </c>
      <c r="S43">
        <f t="shared" si="26"/>
        <v>2.7704039503349351</v>
      </c>
      <c r="T43">
        <f t="shared" si="14"/>
        <v>0.15859185553992416</v>
      </c>
      <c r="U43">
        <f t="shared" si="4"/>
        <v>96.197976278706037</v>
      </c>
      <c r="V43">
        <f t="shared" si="5"/>
        <v>30.078749765084474</v>
      </c>
      <c r="W43">
        <f t="shared" si="15"/>
        <v>0.58723016248158877</v>
      </c>
      <c r="X43">
        <f t="shared" si="6"/>
        <v>0.40074156362592661</v>
      </c>
      <c r="Y43">
        <f t="shared" si="16"/>
        <v>33.645809912976617</v>
      </c>
      <c r="Z43">
        <f t="shared" si="17"/>
        <v>22.960800271238941</v>
      </c>
      <c r="AA43">
        <f t="shared" si="7"/>
        <v>34.51671938342183</v>
      </c>
      <c r="AB43">
        <f t="shared" si="8"/>
        <v>20.213759744444168</v>
      </c>
      <c r="AC43">
        <f t="shared" si="9"/>
        <v>157.87923317399026</v>
      </c>
      <c r="AD43">
        <f t="shared" si="10"/>
        <v>39.94373978572483</v>
      </c>
      <c r="AE43">
        <f t="shared" si="18"/>
        <v>96.197976278706051</v>
      </c>
      <c r="AF43">
        <f t="shared" si="19"/>
        <v>30.078749765084499</v>
      </c>
      <c r="AG43">
        <f t="shared" si="20"/>
        <v>16.197976278706037</v>
      </c>
      <c r="AH43">
        <f t="shared" si="21"/>
        <v>5.8730120868821807</v>
      </c>
    </row>
    <row r="44" spans="1:34" x14ac:dyDescent="0.3">
      <c r="A44">
        <f t="shared" si="24"/>
        <v>34</v>
      </c>
      <c r="B44" t="str" cm="1">
        <f t="array" ref="B44">IF(F44&lt;40,INDEX($AH$4:$AH$44,F44)+(A44-INDEX($AG$4:$AG78,F44))*(INDEX($AH$4:$AH$44,F44+1)-INDEX($AH$4:$AH$44,F44))/(INDEX($AG$4:$AG78,F44+1)-INDEX($AG$4:$AG78,F44)),"")</f>
        <v/>
      </c>
      <c r="F44">
        <f t="shared" si="23"/>
        <v>41</v>
      </c>
      <c r="K44">
        <v>41</v>
      </c>
      <c r="L44">
        <f t="shared" si="22"/>
        <v>0.51472337514140809</v>
      </c>
      <c r="M44">
        <f t="shared" si="0"/>
        <v>126.72217491157204</v>
      </c>
      <c r="N44">
        <f t="shared" si="11"/>
        <v>16058.509614319059</v>
      </c>
      <c r="O44">
        <f t="shared" si="1"/>
        <v>1.4555701874498421</v>
      </c>
      <c r="P44">
        <f t="shared" si="2"/>
        <v>0.15602546918235527</v>
      </c>
      <c r="Q44">
        <f t="shared" si="3"/>
        <v>1.3670847715282559</v>
      </c>
      <c r="R44">
        <f t="shared" si="25"/>
        <v>1.6184824128791819</v>
      </c>
      <c r="S44">
        <f t="shared" si="26"/>
        <v>2.7897815038777258</v>
      </c>
      <c r="T44">
        <f t="shared" si="14"/>
        <v>0.16291222542934092</v>
      </c>
      <c r="U44">
        <f t="shared" si="4"/>
        <v>96.455218419466661</v>
      </c>
      <c r="V44">
        <f t="shared" si="5"/>
        <v>29.823146392566823</v>
      </c>
      <c r="W44">
        <f t="shared" si="15"/>
        <v>0.60228734613496282</v>
      </c>
      <c r="X44">
        <f t="shared" si="6"/>
        <v>0.4060995194342405</v>
      </c>
      <c r="Y44">
        <f t="shared" si="16"/>
        <v>34.508522987668321</v>
      </c>
      <c r="Z44">
        <f t="shared" si="17"/>
        <v>23.267788525872934</v>
      </c>
      <c r="AA44">
        <f t="shared" si="7"/>
        <v>34.817157455252939</v>
      </c>
      <c r="AB44">
        <f t="shared" si="8"/>
        <v>19.691763423729331</v>
      </c>
      <c r="AC44">
        <f t="shared" si="9"/>
        <v>158.0932793836804</v>
      </c>
      <c r="AD44">
        <f t="shared" si="10"/>
        <v>39.954529361404092</v>
      </c>
      <c r="AE44">
        <f t="shared" si="18"/>
        <v>96.455218419466661</v>
      </c>
      <c r="AF44">
        <f t="shared" si="19"/>
        <v>29.823146392566713</v>
      </c>
      <c r="AG44">
        <f t="shared" si="20"/>
        <v>16.455218419466647</v>
      </c>
      <c r="AH44">
        <f t="shared" si="21"/>
        <v>6.1286154593999669</v>
      </c>
    </row>
    <row r="45" spans="1:34" x14ac:dyDescent="0.3">
      <c r="A45">
        <f t="shared" si="24"/>
        <v>35</v>
      </c>
      <c r="B45" t="str" cm="1">
        <f t="array" ref="B45">IF(F45&lt;40,INDEX($AH$4:$AH$44,F45)+(A45-INDEX($AG$4:$AG79,F45))*(INDEX($AH$4:$AH$44,F45+1)-INDEX($AH$4:$AH$44,F45))/(INDEX($AG$4:$AG79,F45+1)-INDEX($AG$4:$AG79,F45)),"")</f>
        <v/>
      </c>
      <c r="F45">
        <f t="shared" si="23"/>
        <v>41</v>
      </c>
    </row>
    <row r="46" spans="1:34" x14ac:dyDescent="0.3">
      <c r="A46">
        <f t="shared" si="24"/>
        <v>36</v>
      </c>
      <c r="B46" t="str" cm="1">
        <f t="array" ref="B46">IF(F46&lt;40,INDEX($AH$4:$AH$44,F46)+(A46-INDEX($AG$4:$AG80,F46))*(INDEX($AH$4:$AH$44,F46+1)-INDEX($AH$4:$AH$44,F46))/(INDEX($AG$4:$AG80,F46+1)-INDEX($AG$4:$AG80,F46)),"")</f>
        <v/>
      </c>
      <c r="F46">
        <f t="shared" si="23"/>
        <v>41</v>
      </c>
    </row>
    <row r="47" spans="1:34" x14ac:dyDescent="0.3">
      <c r="A47">
        <f t="shared" si="24"/>
        <v>37</v>
      </c>
      <c r="B47" t="str" cm="1">
        <f t="array" ref="B47">IF(F47&lt;40,INDEX($AH$4:$AH$44,F47)+(A47-INDEX($AG$4:$AG81,F47))*(INDEX($AH$4:$AH$44,F47+1)-INDEX($AH$4:$AH$44,F47))/(INDEX($AG$4:$AG81,F47+1)-INDEX($AG$4:$AG81,F47)),"")</f>
        <v/>
      </c>
      <c r="F47">
        <f t="shared" si="23"/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16FA-E0C4-49DD-AA85-79B7231E8713}">
  <dimension ref="A1:D6"/>
  <sheetViews>
    <sheetView tabSelected="1" zoomScale="64" zoomScaleNormal="107" workbookViewId="0">
      <selection activeCell="B6" sqref="B6"/>
    </sheetView>
  </sheetViews>
  <sheetFormatPr defaultRowHeight="14.4" x14ac:dyDescent="0.3"/>
  <sheetData>
    <row r="1" spans="1:4" x14ac:dyDescent="0.3">
      <c r="A1" t="s">
        <v>13</v>
      </c>
      <c r="B1" s="9">
        <v>160</v>
      </c>
      <c r="C1" t="s">
        <v>6</v>
      </c>
    </row>
    <row r="2" spans="1:4" x14ac:dyDescent="0.3">
      <c r="A2" t="s">
        <v>45</v>
      </c>
      <c r="B2" s="9">
        <v>220</v>
      </c>
      <c r="C2" t="s">
        <v>6</v>
      </c>
    </row>
    <row r="3" spans="1:4" x14ac:dyDescent="0.3">
      <c r="A3" t="s">
        <v>46</v>
      </c>
      <c r="B3" s="9">
        <v>400</v>
      </c>
      <c r="C3" t="s">
        <v>6</v>
      </c>
    </row>
    <row r="4" spans="1:4" x14ac:dyDescent="0.3">
      <c r="A4" t="s">
        <v>43</v>
      </c>
      <c r="B4" s="9">
        <v>4</v>
      </c>
      <c r="C4" t="s">
        <v>6</v>
      </c>
    </row>
    <row r="5" spans="1:4" x14ac:dyDescent="0.3">
      <c r="A5" t="s">
        <v>14</v>
      </c>
      <c r="B5" s="9">
        <v>40</v>
      </c>
      <c r="C5" t="s">
        <v>6</v>
      </c>
      <c r="D5" t="s">
        <v>47</v>
      </c>
    </row>
    <row r="6" spans="1:4" x14ac:dyDescent="0.3">
      <c r="A6" t="s">
        <v>48</v>
      </c>
      <c r="B6" s="9">
        <v>26</v>
      </c>
      <c r="C6" t="s">
        <v>17</v>
      </c>
    </row>
  </sheetData>
  <sheetProtection sheet="1" objects="1" scenarios="1"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Sheet1</vt:lpstr>
      <vt:lpstr>Sheet2</vt:lpstr>
      <vt:lpstr>Input Parameters</vt:lpstr>
      <vt:lpstr>½_L4</vt:lpstr>
      <vt:lpstr>d</vt:lpstr>
      <vt:lpstr>d_2</vt:lpstr>
      <vt:lpstr>L</vt:lpstr>
      <vt:lpstr>L_4</vt:lpstr>
      <vt:lpstr>L_4_2</vt:lpstr>
      <vt:lpstr>Rmin</vt:lpstr>
      <vt:lpstr>W</vt:lpstr>
      <vt:lpstr>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Young</dc:creator>
  <cp:lastModifiedBy>Alaistair Preece</cp:lastModifiedBy>
  <dcterms:created xsi:type="dcterms:W3CDTF">2025-10-03T11:52:02Z</dcterms:created>
  <dcterms:modified xsi:type="dcterms:W3CDTF">2026-10-28T08:33:35Z</dcterms:modified>
</cp:coreProperties>
</file>